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4.xml" ContentType="application/vnd.openxmlformats-officedocument.themeOverrid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5.xml" ContentType="application/vnd.openxmlformats-officedocument.themeOverrid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heb\Downloads\CSS_HTML\"/>
    </mc:Choice>
  </mc:AlternateContent>
  <xr:revisionPtr revIDLastSave="0" documentId="8_{B500B629-39BF-4C89-85AA-3A904386F076}" xr6:coauthVersionLast="47" xr6:coauthVersionMax="47" xr10:uidLastSave="{00000000-0000-0000-0000-000000000000}"/>
  <bookViews>
    <workbookView xWindow="-110" yWindow="-110" windowWidth="21820" windowHeight="14060" xr2:uid="{00000000-000D-0000-FFFF-FFFF00000000}"/>
  </bookViews>
  <sheets>
    <sheet name="Introduction" sheetId="5" r:id="rId1"/>
    <sheet name="Income Sheet" sheetId="6" r:id="rId2"/>
    <sheet name="Income Output" sheetId="2" state="hidden" r:id="rId3"/>
    <sheet name="Expenses" sheetId="1" r:id="rId4"/>
    <sheet name="Expense Output" sheetId="12" r:id="rId5"/>
    <sheet name="Special Purchase Calculator" sheetId="11" r:id="rId6"/>
    <sheet name="Goals" sheetId="9" r:id="rId7"/>
    <sheet name="Financial Advice" sheetId="3" r:id="rId8"/>
  </sheets>
  <definedNames>
    <definedName name="ExpenseAmount">OFFSET(Expenses!$C$2,1,,COUNTA(Expenses!$A$2:$A$99999)-1,1)</definedName>
    <definedName name="ExpenseCateg">OFFSET(Expenses!$B$2,1,,COUNTA(Expenses!$A$2:$A$99999)-1,1)</definedName>
    <definedName name="ExpenseDate">OFFSET(Expenses!$A$2,1,,COUNTA(Expenses!$A$2:$A$99999)-1,1)</definedName>
    <definedName name="Months">'Expense Output'!$T$66:$T$77</definedName>
    <definedName name="SelMonth">'Expense Output'!$S$64</definedName>
    <definedName name="SelYear">'Expense Output'!$B$2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11" l="1"/>
  <c r="F1" i="1"/>
  <c r="E25" i="1" s="1"/>
  <c r="F1" i="6"/>
  <c r="G7" i="11"/>
  <c r="H7" i="11" s="1"/>
  <c r="I9" i="12"/>
  <c r="J18" i="12"/>
  <c r="I18" i="12"/>
  <c r="S64" i="12"/>
  <c r="J12" i="12" s="1" a="1"/>
  <c r="J12" i="12" s="1"/>
  <c r="G5" i="11"/>
  <c r="H5" i="11" s="1"/>
  <c r="G6" i="11"/>
  <c r="H6" i="11" s="1"/>
  <c r="G8" i="11"/>
  <c r="H8" i="11" s="1"/>
  <c r="G9" i="11"/>
  <c r="H9" i="11" s="1"/>
  <c r="G10" i="11"/>
  <c r="H10" i="11" s="1"/>
  <c r="G11" i="11"/>
  <c r="H11" i="11" s="1"/>
  <c r="G12" i="11"/>
  <c r="H12" i="11" s="1"/>
  <c r="G13" i="11"/>
  <c r="H13" i="11" s="1"/>
  <c r="G14" i="11"/>
  <c r="H14" i="11" s="1"/>
  <c r="G15" i="11"/>
  <c r="H15" i="11" s="1"/>
  <c r="G16" i="11"/>
  <c r="H16" i="11" s="1"/>
  <c r="G17" i="11"/>
  <c r="H17" i="11" s="1"/>
  <c r="G18" i="11"/>
  <c r="H18" i="11" s="1"/>
  <c r="G19" i="11"/>
  <c r="H19" i="11" s="1"/>
  <c r="G20" i="11"/>
  <c r="H20" i="11" s="1"/>
  <c r="G21" i="11"/>
  <c r="H21" i="11" s="1"/>
  <c r="G22" i="11"/>
  <c r="H22" i="11" s="1"/>
  <c r="G23" i="11"/>
  <c r="H23" i="11" s="1"/>
  <c r="G24" i="11"/>
  <c r="H24" i="11" s="1"/>
  <c r="G25" i="11"/>
  <c r="H25" i="11" s="1"/>
  <c r="G26" i="11"/>
  <c r="H26" i="11" s="1"/>
  <c r="G27" i="11"/>
  <c r="H27" i="11" s="1"/>
  <c r="G28" i="11"/>
  <c r="H28" i="11" s="1"/>
  <c r="G29" i="11"/>
  <c r="H29" i="11" s="1"/>
  <c r="G30" i="11"/>
  <c r="H30" i="11" s="1"/>
  <c r="G31" i="11"/>
  <c r="H31" i="11" s="1"/>
  <c r="G32" i="11"/>
  <c r="H32" i="11" s="1"/>
  <c r="G33" i="11"/>
  <c r="H33" i="11" s="1"/>
  <c r="G34" i="11"/>
  <c r="H34" i="11" s="1"/>
  <c r="G35" i="11"/>
  <c r="H35" i="11" s="1"/>
  <c r="G36" i="11"/>
  <c r="H36" i="11" s="1"/>
  <c r="G37" i="11"/>
  <c r="H37" i="11" s="1"/>
  <c r="G38" i="11"/>
  <c r="H38" i="11" s="1"/>
  <c r="G39" i="11"/>
  <c r="H39" i="11" s="1"/>
  <c r="G40" i="11"/>
  <c r="H40" i="11" s="1"/>
  <c r="G41" i="11"/>
  <c r="H41" i="11" s="1"/>
  <c r="G42" i="11"/>
  <c r="H42" i="11" s="1"/>
  <c r="G43" i="11"/>
  <c r="H43" i="11" s="1"/>
  <c r="G44" i="11"/>
  <c r="H44" i="11" s="1"/>
  <c r="G45" i="11"/>
  <c r="H45" i="11" s="1"/>
  <c r="G46" i="11"/>
  <c r="H46" i="11" s="1"/>
  <c r="G47" i="11"/>
  <c r="H47" i="11" s="1"/>
  <c r="G48" i="11"/>
  <c r="H48" i="11" s="1"/>
  <c r="G49" i="11"/>
  <c r="H49" i="11" s="1"/>
  <c r="G50" i="11"/>
  <c r="H50" i="11" s="1"/>
  <c r="G51" i="11"/>
  <c r="H51" i="11" s="1"/>
  <c r="G52" i="11"/>
  <c r="H52" i="11" s="1"/>
  <c r="G53" i="11"/>
  <c r="H53" i="11" s="1"/>
  <c r="G54" i="11"/>
  <c r="H54" i="11" s="1"/>
  <c r="G55" i="11"/>
  <c r="H55" i="11" s="1"/>
  <c r="G56" i="11"/>
  <c r="H56" i="11" s="1"/>
  <c r="G57" i="11"/>
  <c r="H57" i="11" s="1"/>
  <c r="G58" i="11"/>
  <c r="H58" i="11" s="1"/>
  <c r="G59" i="11"/>
  <c r="H59" i="11" s="1"/>
  <c r="G60" i="11"/>
  <c r="H60" i="11" s="1"/>
  <c r="G61" i="11"/>
  <c r="H61" i="11" s="1"/>
  <c r="G62" i="11"/>
  <c r="H62" i="11" s="1"/>
  <c r="G63" i="11"/>
  <c r="H63" i="11" s="1"/>
  <c r="G64" i="11"/>
  <c r="H64" i="11" s="1"/>
  <c r="G65" i="11"/>
  <c r="H65" i="11" s="1"/>
  <c r="G66" i="11"/>
  <c r="H66" i="11" s="1"/>
  <c r="G67" i="11"/>
  <c r="H67" i="11" s="1"/>
  <c r="G68" i="11"/>
  <c r="H68" i="11" s="1"/>
  <c r="G69" i="11"/>
  <c r="H69" i="11" s="1"/>
  <c r="G70" i="11"/>
  <c r="H70" i="11" s="1"/>
  <c r="G71" i="11"/>
  <c r="H71" i="11" s="1"/>
  <c r="G72" i="11"/>
  <c r="H72" i="11" s="1"/>
  <c r="G73" i="11"/>
  <c r="H73" i="11" s="1"/>
  <c r="G74" i="11"/>
  <c r="H74" i="11" s="1"/>
  <c r="G75" i="11"/>
  <c r="H75" i="11" s="1"/>
  <c r="G76" i="11"/>
  <c r="H76" i="11" s="1"/>
  <c r="G77" i="11"/>
  <c r="H77" i="11" s="1"/>
  <c r="G78" i="11"/>
  <c r="H78" i="11" s="1"/>
  <c r="G79" i="11"/>
  <c r="H79" i="11" s="1"/>
  <c r="G80" i="11"/>
  <c r="H80" i="11" s="1"/>
  <c r="G81" i="11"/>
  <c r="H81" i="11" s="1"/>
  <c r="G82" i="11"/>
  <c r="H82" i="11" s="1"/>
  <c r="G83" i="11"/>
  <c r="H83" i="11" s="1"/>
  <c r="G84" i="11"/>
  <c r="H84" i="11" s="1"/>
  <c r="G85" i="11"/>
  <c r="H85" i="11" s="1"/>
  <c r="G86" i="11"/>
  <c r="H86" i="11" s="1"/>
  <c r="G87" i="11"/>
  <c r="H87" i="11" s="1"/>
  <c r="G88" i="11"/>
  <c r="H88" i="11" s="1"/>
  <c r="G89" i="11"/>
  <c r="H89" i="11" s="1"/>
  <c r="G90" i="11"/>
  <c r="H90" i="11" s="1"/>
  <c r="G91" i="11"/>
  <c r="H91" i="11" s="1"/>
  <c r="G92" i="11"/>
  <c r="H92" i="11" s="1"/>
  <c r="G93" i="11"/>
  <c r="H93" i="11" s="1"/>
  <c r="G94" i="11"/>
  <c r="H94" i="11" s="1"/>
  <c r="G95" i="11"/>
  <c r="H95" i="11" s="1"/>
  <c r="G96" i="11"/>
  <c r="H96" i="11" s="1"/>
  <c r="G97" i="11"/>
  <c r="H97" i="11" s="1"/>
  <c r="G98" i="11"/>
  <c r="H98" i="11" s="1"/>
  <c r="G99" i="11"/>
  <c r="H99" i="11" s="1"/>
  <c r="G100" i="11"/>
  <c r="H100" i="11" s="1"/>
  <c r="G101" i="11"/>
  <c r="H101" i="11" s="1"/>
  <c r="G102" i="11"/>
  <c r="H102" i="11" s="1"/>
  <c r="G103" i="11"/>
  <c r="H103" i="11" s="1"/>
  <c r="G104" i="11"/>
  <c r="H104" i="11" s="1"/>
  <c r="G105" i="11"/>
  <c r="H105" i="11" s="1"/>
  <c r="G106" i="11"/>
  <c r="H106" i="11" s="1"/>
  <c r="G107" i="11"/>
  <c r="H107" i="11" s="1"/>
  <c r="G108" i="11"/>
  <c r="H108" i="11" s="1"/>
  <c r="G109" i="11"/>
  <c r="H109" i="11" s="1"/>
  <c r="G110" i="11"/>
  <c r="H110" i="11" s="1"/>
  <c r="G111" i="11"/>
  <c r="H111" i="11" s="1"/>
  <c r="G112" i="11"/>
  <c r="H112" i="11" s="1"/>
  <c r="G113" i="11"/>
  <c r="H113" i="11" s="1"/>
  <c r="G114" i="11"/>
  <c r="H114" i="11" s="1"/>
  <c r="G115" i="11"/>
  <c r="H115" i="11" s="1"/>
  <c r="G116" i="11"/>
  <c r="H116" i="11" s="1"/>
  <c r="G117" i="11"/>
  <c r="H117" i="11" s="1"/>
  <c r="G118" i="11"/>
  <c r="H118" i="11" s="1"/>
  <c r="G119" i="11"/>
  <c r="H119" i="11" s="1"/>
  <c r="G120" i="11"/>
  <c r="H120" i="11" s="1"/>
  <c r="G121" i="11"/>
  <c r="H121" i="11" s="1"/>
  <c r="G122" i="11"/>
  <c r="H122" i="11" s="1"/>
  <c r="G123" i="11"/>
  <c r="H123" i="11" s="1"/>
  <c r="G124" i="11"/>
  <c r="H124" i="11" s="1"/>
  <c r="G125" i="11"/>
  <c r="H125" i="11" s="1"/>
  <c r="G126" i="11"/>
  <c r="H126" i="11" s="1"/>
  <c r="G127" i="11"/>
  <c r="H127" i="11" s="1"/>
  <c r="G128" i="11"/>
  <c r="H128" i="11" s="1"/>
  <c r="G129" i="11"/>
  <c r="H129" i="11" s="1"/>
  <c r="G130" i="11"/>
  <c r="H130" i="11" s="1"/>
  <c r="G131" i="11"/>
  <c r="H131" i="11" s="1"/>
  <c r="G132" i="11"/>
  <c r="H132" i="11" s="1"/>
  <c r="G133" i="11"/>
  <c r="H133" i="11" s="1"/>
  <c r="G134" i="11"/>
  <c r="H134" i="11" s="1"/>
  <c r="G135" i="11"/>
  <c r="H135" i="11" s="1"/>
  <c r="G136" i="11"/>
  <c r="H136" i="11" s="1"/>
  <c r="G137" i="11"/>
  <c r="H137" i="11" s="1"/>
  <c r="G138" i="11"/>
  <c r="H138" i="11" s="1"/>
  <c r="G139" i="11"/>
  <c r="H139" i="11" s="1"/>
  <c r="G140" i="11"/>
  <c r="H140" i="11" s="1"/>
  <c r="G141" i="11"/>
  <c r="H141" i="11" s="1"/>
  <c r="G142" i="11"/>
  <c r="H142" i="11" s="1"/>
  <c r="G143" i="11"/>
  <c r="H143" i="11" s="1"/>
  <c r="G144" i="11"/>
  <c r="H144" i="11" s="1"/>
  <c r="G145" i="11"/>
  <c r="H145" i="11" s="1"/>
  <c r="G146" i="11"/>
  <c r="H146" i="11" s="1"/>
  <c r="G147" i="11"/>
  <c r="H147" i="11" s="1"/>
  <c r="G148" i="11"/>
  <c r="H148" i="11" s="1"/>
  <c r="G149" i="11"/>
  <c r="H149" i="11" s="1"/>
  <c r="G150" i="11"/>
  <c r="H150" i="11" s="1"/>
  <c r="G151" i="11"/>
  <c r="H151" i="11" s="1"/>
  <c r="G152" i="11"/>
  <c r="H152" i="11" s="1"/>
  <c r="G153" i="11"/>
  <c r="H153" i="11" s="1"/>
  <c r="G154" i="11"/>
  <c r="H154" i="11" s="1"/>
  <c r="G155" i="11"/>
  <c r="H155" i="11" s="1"/>
  <c r="G156" i="11"/>
  <c r="H156" i="11" s="1"/>
  <c r="G157" i="11"/>
  <c r="H157" i="11" s="1"/>
  <c r="G158" i="11"/>
  <c r="H158" i="11" s="1"/>
  <c r="G159" i="11"/>
  <c r="H159" i="11" s="1"/>
  <c r="G160" i="11"/>
  <c r="H160" i="11" s="1"/>
  <c r="G161" i="11"/>
  <c r="H161" i="11" s="1"/>
  <c r="G162" i="11"/>
  <c r="H162" i="11" s="1"/>
  <c r="G163" i="11"/>
  <c r="H163" i="11" s="1"/>
  <c r="G164" i="11"/>
  <c r="H164" i="11" s="1"/>
  <c r="G165" i="11"/>
  <c r="H165" i="11" s="1"/>
  <c r="G166" i="11"/>
  <c r="H166" i="11" s="1"/>
  <c r="G167" i="11"/>
  <c r="H167" i="11" s="1"/>
  <c r="G168" i="11"/>
  <c r="H168" i="11" s="1"/>
  <c r="G169" i="11"/>
  <c r="H169" i="11" s="1"/>
  <c r="G170" i="11"/>
  <c r="H170" i="11" s="1"/>
  <c r="G171" i="11"/>
  <c r="H171" i="11" s="1"/>
  <c r="G172" i="11"/>
  <c r="H172" i="11" s="1"/>
  <c r="G173" i="11"/>
  <c r="H173" i="11" s="1"/>
  <c r="G174" i="11"/>
  <c r="H174" i="11" s="1"/>
  <c r="G175" i="11"/>
  <c r="H175" i="11" s="1"/>
  <c r="G176" i="11"/>
  <c r="H176" i="11" s="1"/>
  <c r="G177" i="11"/>
  <c r="H177" i="11" s="1"/>
  <c r="G178" i="11"/>
  <c r="H178" i="11" s="1"/>
  <c r="G179" i="11"/>
  <c r="H179" i="11" s="1"/>
  <c r="G180" i="11"/>
  <c r="H180" i="11" s="1"/>
  <c r="G181" i="11"/>
  <c r="H181" i="11" s="1"/>
  <c r="G182" i="11"/>
  <c r="H182" i="11" s="1"/>
  <c r="G183" i="11"/>
  <c r="H183" i="11" s="1"/>
  <c r="G184" i="11"/>
  <c r="H184" i="11" s="1"/>
  <c r="G185" i="11"/>
  <c r="H185" i="11" s="1"/>
  <c r="G186" i="11"/>
  <c r="H186" i="11" s="1"/>
  <c r="G187" i="11"/>
  <c r="H187" i="11" s="1"/>
  <c r="G188" i="11"/>
  <c r="H188" i="11" s="1"/>
  <c r="G189" i="11"/>
  <c r="H189" i="11" s="1"/>
  <c r="G190" i="11"/>
  <c r="H190" i="11" s="1"/>
  <c r="G191" i="11"/>
  <c r="H191" i="11" s="1"/>
  <c r="G192" i="11"/>
  <c r="H192" i="11" s="1"/>
  <c r="G193" i="11"/>
  <c r="H193" i="11" s="1"/>
  <c r="G194" i="11"/>
  <c r="H194" i="11" s="1"/>
  <c r="G195" i="11"/>
  <c r="H195" i="11" s="1"/>
  <c r="G196" i="11"/>
  <c r="H196" i="11" s="1"/>
  <c r="G197" i="11"/>
  <c r="H197" i="11" s="1"/>
  <c r="G198" i="11"/>
  <c r="H198" i="11" s="1"/>
  <c r="G199" i="11"/>
  <c r="H199" i="11" s="1"/>
  <c r="G200" i="11"/>
  <c r="H200" i="11" s="1"/>
  <c r="G201" i="11"/>
  <c r="H201" i="11" s="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E5" i="11"/>
  <c r="E12" i="11"/>
  <c r="E7" i="11"/>
  <c r="E8" i="11"/>
  <c r="E9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10" i="11"/>
  <c r="E11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S70" i="12" l="1" a="1"/>
  <c r="S70" i="12" s="1"/>
  <c r="S66" i="12" a="1"/>
  <c r="S66" i="12" s="1"/>
  <c r="S69" i="12" a="1"/>
  <c r="S69" i="12" s="1"/>
  <c r="S72" i="12" a="1"/>
  <c r="S72" i="12" s="1"/>
  <c r="S68" i="12" a="1"/>
  <c r="S68" i="12" s="1"/>
  <c r="S71" i="12" a="1"/>
  <c r="S71" i="12" s="1"/>
  <c r="S67" i="12" a="1"/>
  <c r="S67" i="12" s="1"/>
  <c r="J10" i="12" a="1"/>
  <c r="J10" i="12" s="1"/>
  <c r="J15" i="12" a="1"/>
  <c r="J15" i="12" s="1"/>
  <c r="J11" i="12" a="1"/>
  <c r="J11" i="12" s="1"/>
  <c r="J14" i="12" a="1"/>
  <c r="J14" i="12" s="1"/>
  <c r="J13" i="12" a="1"/>
  <c r="J13" i="12" s="1"/>
  <c r="J16" i="12" a="1"/>
  <c r="J16" i="12" s="1"/>
  <c r="J17" i="12" l="1"/>
  <c r="J19" i="12" s="1"/>
  <c r="L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<sst xmlns="http://schemas.openxmlformats.org/spreadsheetml/2006/main" count="143" uniqueCount="94">
  <si>
    <t>Personal Post-Secondary Financial Planner</t>
  </si>
  <si>
    <t>Income Sheet</t>
  </si>
  <si>
    <t>Total Income:</t>
  </si>
  <si>
    <t xml:space="preserve">Type of Income </t>
  </si>
  <si>
    <t>Description</t>
  </si>
  <si>
    <t>Amount</t>
  </si>
  <si>
    <t>Date Received</t>
  </si>
  <si>
    <t>Start Date</t>
  </si>
  <si>
    <t>Income Output Sheet</t>
  </si>
  <si>
    <t>Date</t>
  </si>
  <si>
    <t>Category</t>
  </si>
  <si>
    <t>Other</t>
  </si>
  <si>
    <t xml:space="preserve">All my childhood savings </t>
  </si>
  <si>
    <t>End Date</t>
  </si>
  <si>
    <t>Job</t>
  </si>
  <si>
    <t>Summer Job Money</t>
  </si>
  <si>
    <t>Gifts</t>
  </si>
  <si>
    <t>Birthday Money</t>
  </si>
  <si>
    <t>Scholarship/Bursary</t>
  </si>
  <si>
    <t>UW Bursary/Scholarship</t>
  </si>
  <si>
    <t>Co-op</t>
  </si>
  <si>
    <t>Coop Pay</t>
  </si>
  <si>
    <t>Won 2nd place in a competition</t>
  </si>
  <si>
    <t>Note:</t>
  </si>
  <si>
    <t>Highschool Business Award</t>
  </si>
  <si>
    <t>Notice how the headers match the first sheet.</t>
  </si>
  <si>
    <t>Christmas Money</t>
  </si>
  <si>
    <t>Remember to change it here if you changed it for</t>
  </si>
  <si>
    <t>the first sheet. Remember to also add outputs</t>
  </si>
  <si>
    <t>for your extra sheets/data collections.</t>
  </si>
  <si>
    <t>Expenses (Input Sheet)</t>
  </si>
  <si>
    <t>Total Expenses:</t>
  </si>
  <si>
    <t>Rent</t>
  </si>
  <si>
    <t>Rent Bill</t>
  </si>
  <si>
    <t>Food</t>
  </si>
  <si>
    <t>Mc Donald's Lunch</t>
  </si>
  <si>
    <t>Sushi - Final Exam Celebration</t>
  </si>
  <si>
    <t>Travel</t>
  </si>
  <si>
    <t>Round Trip to Montreal</t>
  </si>
  <si>
    <t>Bills</t>
  </si>
  <si>
    <t>Bills For December</t>
  </si>
  <si>
    <t>Entertainment</t>
  </si>
  <si>
    <t>Netflix + Spotify</t>
  </si>
  <si>
    <t>Secret Gift</t>
  </si>
  <si>
    <t xml:space="preserve">Sushi </t>
  </si>
  <si>
    <t xml:space="preserve">Round Trip to Toronto </t>
  </si>
  <si>
    <t>Loans</t>
  </si>
  <si>
    <t>Boba Plus Indian Food</t>
  </si>
  <si>
    <t>Bills For January</t>
  </si>
  <si>
    <t>MONTHLY EXPENSE OUTPUT &amp; ANALYSIS</t>
  </si>
  <si>
    <t>Year:</t>
  </si>
  <si>
    <t>Month:</t>
  </si>
  <si>
    <t>December</t>
  </si>
  <si>
    <t xml:space="preserve">Monthly Budget: </t>
  </si>
  <si>
    <t>Shopping</t>
  </si>
  <si>
    <t>Total Expenses</t>
  </si>
  <si>
    <t>Savings for Month</t>
  </si>
  <si>
    <t>A</t>
  </si>
  <si>
    <t>Month #</t>
  </si>
  <si>
    <t>Graph Data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</si>
  <si>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</si>
  <si>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</si>
  <si>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</si>
  <si>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</si>
  <si>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</si>
  <si>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</si>
  <si>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</si>
  <si>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</si>
  <si>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</si>
  <si>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</si>
  <si>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</si>
  <si>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</si>
  <si>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Special Purchase Calculator (Goals + Financial Advice)</t>
  </si>
  <si>
    <t xml:space="preserve"> Item Name/Goal:</t>
  </si>
  <si>
    <t>Price of Item/Amount for Goal:</t>
  </si>
  <si>
    <t># of Months Until Purchase/Goal:</t>
  </si>
  <si>
    <t>Date started saving:</t>
  </si>
  <si>
    <t>Amount to Save Per Month:</t>
  </si>
  <si>
    <t xml:space="preserve">Amount Saved Up: </t>
  </si>
  <si>
    <t>Amount Saved (%)</t>
  </si>
  <si>
    <t>Total (%)</t>
  </si>
  <si>
    <t>Christmas Gift for Secret Santa</t>
  </si>
  <si>
    <t>New Phone</t>
  </si>
  <si>
    <t>UW Merch</t>
  </si>
  <si>
    <t>Ikea Desk</t>
  </si>
  <si>
    <t>Loan</t>
  </si>
  <si>
    <t>Goals Sheet</t>
  </si>
  <si>
    <t>What is your goal?</t>
  </si>
  <si>
    <t>When to Accomplish Goal By:</t>
  </si>
  <si>
    <t>Description of Goal (If Applicable)</t>
  </si>
  <si>
    <t>I want to stay within my budget for this month</t>
  </si>
  <si>
    <t>N/A</t>
  </si>
  <si>
    <t>I want to be out of debt by the time I am done University</t>
  </si>
  <si>
    <t>Financial Advice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</si>
</sst>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;[Red]\-&quot;$&quot;#,##0.00"/>
    <numFmt numFmtId="165" formatCode="_-&quot;$&quot;* #,##0.00_-;\-&quot;$&quot;* #,##0.00_-;_-&quot;$&quot;* &quot;-&quot;??_-;_-@_-"/>
    <numFmt numFmtId="166" formatCode="yyyy\-mm\-dd;@"/>
    <numFmt numFmtId="167" formatCode="&quot;$&quot;#,##0.00"/>
    <numFmt numFmtId="168" formatCode="[$-F800]dddd\,\ mmmm\ dd\,\ yyyy"/>
  </numFmts>
  <fonts count="3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7" tint="0.3999755851924192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4"/>
      <color theme="1"/>
      <name val="Amasis MT Pro Black"/>
      <family val="1"/>
    </font>
    <font>
      <sz val="14"/>
      <color theme="7" tint="-0.499984740745262"/>
      <name val="Amasis MT Pro Black"/>
      <family val="1"/>
    </font>
    <font>
      <sz val="8"/>
      <name val="Calibri"/>
      <family val="2"/>
      <scheme val="minor"/>
    </font>
    <font>
      <sz val="12"/>
      <color theme="1"/>
      <name val="Amasis MT Pro Black"/>
      <family val="1"/>
    </font>
    <font>
      <sz val="12"/>
      <color theme="7" tint="-0.499984740745262"/>
      <name val="Amasis MT Pro Black"/>
      <family val="1"/>
    </font>
    <font>
      <b/>
      <u/>
      <sz val="16"/>
      <color theme="7" tint="-0.499984740745262"/>
      <name val="Amasis MT Pro Black"/>
      <family val="1"/>
    </font>
    <font>
      <sz val="18"/>
      <color theme="1"/>
      <name val="Amasis MT Pro Black"/>
      <family val="1"/>
    </font>
    <font>
      <b/>
      <sz val="14"/>
      <color theme="5" tint="-0.499984740745262"/>
      <name val="Calibri"/>
      <family val="2"/>
      <scheme val="minor"/>
    </font>
    <font>
      <b/>
      <sz val="24"/>
      <color theme="7" tint="0.39997558519241921"/>
      <name val="Amasis MT Pro Black"/>
      <family val="1"/>
    </font>
    <font>
      <b/>
      <sz val="24"/>
      <color rgb="FF92D050"/>
      <name val="Amasis MT Pro Black"/>
      <family val="1"/>
    </font>
    <font>
      <sz val="28"/>
      <color theme="7" tint="-0.499984740745262"/>
      <name val="Amasis MT Pro Black"/>
      <family val="1"/>
    </font>
    <font>
      <u/>
      <sz val="36"/>
      <color theme="8" tint="-0.249977111117893"/>
      <name val="Amasis MT Pro Black"/>
      <family val="1"/>
    </font>
    <font>
      <u/>
      <sz val="33"/>
      <color theme="8" tint="-0.249977111117893"/>
      <name val="Amasis MT Pro Black"/>
      <family val="1"/>
    </font>
    <font>
      <sz val="36"/>
      <color theme="8" tint="-0.249977111117893"/>
      <name val="Amasis MT Pro Black"/>
      <family val="1"/>
    </font>
    <font>
      <b/>
      <sz val="28"/>
      <color rgb="FF92D050"/>
      <name val="Calibri"/>
      <family val="2"/>
      <scheme val="minor"/>
    </font>
    <font>
      <u/>
      <sz val="28"/>
      <color theme="8" tint="-0.249977111117893"/>
      <name val="Amasis MT Pro Black"/>
      <family val="1"/>
    </font>
    <font>
      <b/>
      <sz val="14"/>
      <color theme="7" tint="0.39997558519241921"/>
      <name val="Calibri"/>
      <family val="2"/>
      <scheme val="minor"/>
    </font>
    <font>
      <u/>
      <sz val="36"/>
      <color theme="4"/>
      <name val="Amasis MT Pro Black"/>
      <family val="1"/>
    </font>
    <font>
      <sz val="11"/>
      <color theme="4"/>
      <name val="Calibri"/>
      <family val="2"/>
      <scheme val="minor"/>
    </font>
    <font>
      <u/>
      <sz val="18"/>
      <color theme="4"/>
      <name val="Amasis MT Pro Black"/>
      <family val="1"/>
    </font>
    <font>
      <u/>
      <sz val="24"/>
      <color theme="4"/>
      <name val="Amasis MT Pro Black"/>
      <family val="1"/>
    </font>
    <font>
      <b/>
      <sz val="12"/>
      <color theme="7" tint="0.59999389629810485"/>
      <name val="Calibri"/>
      <family val="2"/>
      <scheme val="minor"/>
    </font>
    <font>
      <sz val="9"/>
      <color theme="4"/>
      <name val="Calibri"/>
      <family val="2"/>
      <scheme val="minor"/>
    </font>
    <font>
      <u/>
      <sz val="33"/>
      <color theme="4"/>
      <name val="Amasis MT Pro Black"/>
      <family val="1"/>
    </font>
    <font>
      <b/>
      <sz val="11"/>
      <color theme="5" tint="-0.499984740745262"/>
      <name val="Calibri"/>
      <family val="2"/>
      <scheme val="minor"/>
    </font>
    <font>
      <b/>
      <sz val="10"/>
      <color theme="5" tint="-0.499984740745262"/>
      <name val="Calibri"/>
      <family val="2"/>
      <scheme val="minor"/>
    </font>
    <font>
      <b/>
      <sz val="24"/>
      <color theme="0"/>
      <name val="Amasis MT Pro Black"/>
      <family val="1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73">
    <xf numFmtId="0" fontId="0" fillId="0" borderId="0" xfId="0"/>
    <xf numFmtId="166" fontId="0" fillId="0" borderId="0" xfId="0" applyNumberFormat="1"/>
    <xf numFmtId="165" fontId="0" fillId="0" borderId="0" xfId="1" applyFont="1"/>
    <xf numFmtId="0" fontId="0" fillId="2" borderId="0" xfId="0" applyFill="1"/>
    <xf numFmtId="0" fontId="6" fillId="3" borderId="0" xfId="0" applyFont="1" applyFill="1" applyAlignment="1" applyProtection="1">
      <alignment horizontal="center" vertical="top"/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7" fillId="3" borderId="0" xfId="0" applyFont="1" applyFill="1" applyAlignment="1" applyProtection="1">
      <alignment horizontal="center" vertical="top"/>
      <protection locked="0"/>
    </xf>
    <xf numFmtId="166" fontId="0" fillId="0" borderId="0" xfId="0" applyNumberFormat="1" applyProtection="1">
      <protection locked="0"/>
    </xf>
    <xf numFmtId="0" fontId="6" fillId="3" borderId="0" xfId="0" applyFont="1" applyFill="1" applyAlignment="1">
      <alignment horizontal="center" vertical="top"/>
    </xf>
    <xf numFmtId="164" fontId="0" fillId="0" borderId="0" xfId="0" applyNumberFormat="1"/>
    <xf numFmtId="167" fontId="0" fillId="0" borderId="0" xfId="0" applyNumberForma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Alignment="1" applyProtection="1">
      <alignment horizontal="center" vertical="top"/>
      <protection locked="0"/>
    </xf>
    <xf numFmtId="167" fontId="6" fillId="3" borderId="0" xfId="0" applyNumberFormat="1" applyFont="1" applyFill="1" applyAlignment="1" applyProtection="1">
      <alignment horizontal="center" vertical="top"/>
      <protection locked="0"/>
    </xf>
    <xf numFmtId="10" fontId="0" fillId="0" borderId="0" xfId="0" applyNumberFormat="1"/>
    <xf numFmtId="0" fontId="8" fillId="2" borderId="0" xfId="0" applyFont="1" applyFill="1" applyAlignment="1" applyProtection="1">
      <alignment horizontal="center" vertical="top"/>
      <protection locked="0"/>
    </xf>
    <xf numFmtId="0" fontId="8" fillId="4" borderId="0" xfId="0" applyFont="1" applyFill="1" applyAlignment="1" applyProtection="1">
      <alignment horizontal="center" vertical="top"/>
      <protection locked="0"/>
    </xf>
    <xf numFmtId="0" fontId="8" fillId="4" borderId="0" xfId="0" applyFont="1" applyFill="1" applyAlignment="1">
      <alignment horizontal="center" vertical="top"/>
    </xf>
    <xf numFmtId="167" fontId="7" fillId="3" borderId="0" xfId="0" applyNumberFormat="1" applyFont="1" applyFill="1" applyAlignment="1" applyProtection="1">
      <alignment horizontal="center" vertical="top"/>
      <protection locked="0"/>
    </xf>
    <xf numFmtId="167" fontId="0" fillId="0" borderId="0" xfId="0" applyNumberFormat="1"/>
    <xf numFmtId="0" fontId="5" fillId="0" borderId="0" xfId="0" applyFont="1"/>
    <xf numFmtId="0" fontId="13" fillId="4" borderId="2" xfId="0" applyFont="1" applyFill="1" applyBorder="1"/>
    <xf numFmtId="167" fontId="12" fillId="4" borderId="2" xfId="0" applyNumberFormat="1" applyFont="1" applyFill="1" applyBorder="1"/>
    <xf numFmtId="0" fontId="13" fillId="2" borderId="2" xfId="0" applyFont="1" applyFill="1" applyBorder="1"/>
    <xf numFmtId="0" fontId="13" fillId="2" borderId="3" xfId="0" applyFont="1" applyFill="1" applyBorder="1"/>
    <xf numFmtId="167" fontId="12" fillId="5" borderId="2" xfId="0" applyNumberFormat="1" applyFont="1" applyFill="1" applyBorder="1"/>
    <xf numFmtId="167" fontId="12" fillId="6" borderId="3" xfId="0" applyNumberFormat="1" applyFont="1" applyFill="1" applyBorder="1"/>
    <xf numFmtId="167" fontId="12" fillId="7" borderId="2" xfId="0" applyNumberFormat="1" applyFont="1" applyFill="1" applyBorder="1"/>
    <xf numFmtId="167" fontId="15" fillId="7" borderId="0" xfId="0" applyNumberFormat="1" applyFont="1" applyFill="1" applyAlignment="1">
      <alignment horizontal="left"/>
    </xf>
    <xf numFmtId="0" fontId="0" fillId="3" borderId="0" xfId="0" applyFill="1"/>
    <xf numFmtId="0" fontId="10" fillId="3" borderId="0" xfId="0" applyFont="1" applyFill="1" applyAlignment="1">
      <alignment horizontal="right"/>
    </xf>
    <xf numFmtId="0" fontId="9" fillId="3" borderId="0" xfId="0" applyFont="1" applyFill="1"/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left"/>
    </xf>
    <xf numFmtId="167" fontId="8" fillId="3" borderId="0" xfId="0" applyNumberFormat="1" applyFont="1" applyFill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8" fillId="0" borderId="0" xfId="0" applyFont="1" applyAlignment="1">
      <alignment horizontal="center" vertical="top"/>
    </xf>
    <xf numFmtId="167" fontId="8" fillId="4" borderId="0" xfId="0" applyNumberFormat="1" applyFont="1" applyFill="1" applyAlignment="1">
      <alignment horizontal="center" vertical="top"/>
    </xf>
    <xf numFmtId="0" fontId="19" fillId="2" borderId="0" xfId="0" applyFont="1" applyFill="1"/>
    <xf numFmtId="168" fontId="16" fillId="3" borderId="0" xfId="0" applyNumberFormat="1" applyFont="1" applyFill="1" applyAlignment="1">
      <alignment horizontal="center" vertical="top"/>
    </xf>
    <xf numFmtId="168" fontId="0" fillId="0" borderId="0" xfId="1" applyNumberFormat="1" applyFont="1"/>
    <xf numFmtId="168" fontId="0" fillId="0" borderId="0" xfId="0" applyNumberFormat="1"/>
    <xf numFmtId="0" fontId="17" fillId="8" borderId="0" xfId="0" applyFont="1" applyFill="1" applyAlignment="1" applyProtection="1">
      <alignment horizontal="center" vertical="center"/>
      <protection locked="0"/>
    </xf>
    <xf numFmtId="167" fontId="23" fillId="8" borderId="0" xfId="0" applyNumberFormat="1" applyFont="1" applyFill="1" applyAlignment="1">
      <alignment horizontal="center" vertical="center"/>
    </xf>
    <xf numFmtId="167" fontId="18" fillId="8" borderId="0" xfId="0" applyNumberFormat="1" applyFont="1" applyFill="1" applyAlignment="1" applyProtection="1">
      <alignment horizontal="center" vertical="center"/>
      <protection locked="0"/>
    </xf>
    <xf numFmtId="0" fontId="0" fillId="9" borderId="0" xfId="0" applyFill="1"/>
    <xf numFmtId="0" fontId="4" fillId="9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25" fillId="10" borderId="0" xfId="0" applyFont="1" applyFill="1" applyAlignment="1">
      <alignment horizontal="center" vertical="center"/>
    </xf>
    <xf numFmtId="0" fontId="28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26" fillId="3" borderId="0" xfId="0" applyFont="1" applyFill="1"/>
    <xf numFmtId="0" fontId="27" fillId="3" borderId="0" xfId="0" applyFont="1" applyFill="1" applyAlignment="1">
      <alignment horizontal="left"/>
    </xf>
    <xf numFmtId="0" fontId="27" fillId="3" borderId="0" xfId="0" applyFont="1" applyFill="1"/>
    <xf numFmtId="0" fontId="30" fillId="10" borderId="0" xfId="0" applyFont="1" applyFill="1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horizontal="center"/>
    </xf>
    <xf numFmtId="0" fontId="31" fillId="3" borderId="0" xfId="0" applyFont="1" applyFill="1" applyAlignment="1">
      <alignment horizontal="left"/>
    </xf>
    <xf numFmtId="167" fontId="25" fillId="10" borderId="0" xfId="0" applyNumberFormat="1" applyFont="1" applyFill="1" applyAlignment="1">
      <alignment horizontal="center" vertical="center"/>
    </xf>
    <xf numFmtId="167" fontId="33" fillId="2" borderId="0" xfId="0" applyNumberFormat="1" applyFont="1" applyFill="1" applyAlignment="1" applyProtection="1">
      <alignment horizontal="center" vertical="top"/>
      <protection locked="0"/>
    </xf>
    <xf numFmtId="0" fontId="34" fillId="4" borderId="0" xfId="0" applyFont="1" applyFill="1" applyAlignment="1" applyProtection="1">
      <alignment horizontal="center" vertical="top"/>
      <protection locked="0"/>
    </xf>
    <xf numFmtId="0" fontId="20" fillId="0" borderId="0" xfId="0" applyFont="1"/>
    <xf numFmtId="0" fontId="22" fillId="0" borderId="0" xfId="0" applyFont="1"/>
    <xf numFmtId="167" fontId="35" fillId="0" borderId="0" xfId="0" applyNumberFormat="1" applyFont="1" applyAlignment="1" applyProtection="1">
      <alignment horizontal="center" vertical="center"/>
      <protection locked="0"/>
    </xf>
    <xf numFmtId="0" fontId="32" fillId="3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Medium9"/>
  <colors>
    <mruColors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11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12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8.xml"/><Relationship Id="rId1" Type="http://schemas.microsoft.com/office/2011/relationships/chartStyle" Target="style8.xml"/><Relationship Id="rId4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 u="sng" baseline="0">
                <a:solidFill>
                  <a:schemeClr val="accent4">
                    <a:lumMod val="50000"/>
                  </a:schemeClr>
                </a:solidFill>
                <a:latin typeface="Amasis MT Pro Black" panose="02040A04050005020304" pitchFamily="18" charset="0"/>
              </a:rPr>
              <a:t>Amount of Budget Used (Expenses) vs Remaining Budget (Savings)</a:t>
            </a:r>
          </a:p>
        </c:rich>
      </c:tx>
      <c:layout>
        <c:manualLayout>
          <c:xMode val="edge"/>
          <c:yMode val="edge"/>
          <c:x val="0.17549551003911584"/>
          <c:y val="1.51067582300141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21105527638194E-2"/>
          <c:y val="0.18767770140684001"/>
          <c:w val="0.91155778894472361"/>
          <c:h val="0.686081694402420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342-438B-B75B-12F9743EDC0F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42-438B-B75B-12F9743EDC0F}"/>
              </c:ext>
            </c:extLst>
          </c:dPt>
          <c:val>
            <c:numRef>
              <c:f>('Expense Output'!$J$17,'Expense Output'!$J$19)</c:f>
              <c:numCache>
                <c:formatCode>"$"#,##0.00</c:formatCode>
                <c:ptCount val="2"/>
                <c:pt idx="0">
                  <c:v>2100</c:v>
                </c:pt>
                <c:pt idx="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2-438B-B75B-12F9743ED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600" u="sng">
                <a:solidFill>
                  <a:schemeClr val="accent4">
                    <a:lumMod val="50000"/>
                  </a:schemeClr>
                </a:solidFill>
                <a:latin typeface="Amasis MT Pro Black" panose="02040A04050005020304" pitchFamily="18" charset="0"/>
              </a:rPr>
              <a:t>Expense</a:t>
            </a:r>
            <a:r>
              <a:rPr lang="en-CA" sz="1600" u="sng" baseline="0">
                <a:solidFill>
                  <a:schemeClr val="accent4">
                    <a:lumMod val="50000"/>
                  </a:schemeClr>
                </a:solidFill>
                <a:latin typeface="Amasis MT Pro Black" panose="02040A04050005020304" pitchFamily="18" charset="0"/>
              </a:rPr>
              <a:t> Categories</a:t>
            </a:r>
            <a:endParaRPr lang="en-CA" sz="1600" u="sng">
              <a:solidFill>
                <a:schemeClr val="accent4">
                  <a:lumMod val="50000"/>
                </a:schemeClr>
              </a:solidFill>
              <a:latin typeface="Amasis MT Pro Black" panose="02040A040500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'Expense Output'!$R$66:$R$72</c:f>
              <c:strCache>
                <c:ptCount val="7"/>
                <c:pt idx="0">
                  <c:v>Shopping</c:v>
                </c:pt>
                <c:pt idx="1">
                  <c:v>Bills</c:v>
                </c:pt>
                <c:pt idx="2">
                  <c:v>Food</c:v>
                </c:pt>
                <c:pt idx="3">
                  <c:v>Entertainment</c:v>
                </c:pt>
                <c:pt idx="4">
                  <c:v>Rent</c:v>
                </c:pt>
                <c:pt idx="5">
                  <c:v>Travel</c:v>
                </c:pt>
                <c:pt idx="6">
                  <c:v>Other</c:v>
                </c:pt>
              </c:strCache>
            </c:strRef>
          </c:cat>
          <c:val>
            <c:numRef>
              <c:f>'Expense Output'!$S$66:$S$72</c:f>
              <c:numCache>
                <c:formatCode>General</c:formatCode>
                <c:ptCount val="7"/>
                <c:pt idx="0">
                  <c:v>#N/A</c:v>
                </c:pt>
                <c:pt idx="1">
                  <c:v>380</c:v>
                </c:pt>
                <c:pt idx="2">
                  <c:v>70</c:v>
                </c:pt>
                <c:pt idx="3">
                  <c:v>20</c:v>
                </c:pt>
                <c:pt idx="4">
                  <c:v>1200</c:v>
                </c:pt>
                <c:pt idx="5">
                  <c:v>350</c:v>
                </c:pt>
                <c:pt idx="6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917-A013-FFFC7A61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449968"/>
        <c:axId val="1103447672"/>
      </c:barChart>
      <c:catAx>
        <c:axId val="110344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447672"/>
        <c:crosses val="autoZero"/>
        <c:auto val="1"/>
        <c:lblAlgn val="ctr"/>
        <c:lblOffset val="100"/>
        <c:noMultiLvlLbl val="0"/>
      </c:catAx>
      <c:valAx>
        <c:axId val="110344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4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'Special Purchase Calculator'!$A$5</c:f>
          <c:strCache>
            <c:ptCount val="1"/>
            <c:pt idx="0">
              <c:v>Christmas Gift for Secret Santa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206-4C17-8D79-AB3C9A59AE8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06-4C17-8D79-AB3C9A59AE86}"/>
              </c:ext>
            </c:extLst>
          </c:dPt>
          <c:val>
            <c:numRef>
              <c:f>'Special Purchase Calculator'!$G$5:$H$5</c:f>
              <c:numCache>
                <c:formatCode>0.00%</c:formatCode>
                <c:ptCount val="2"/>
                <c:pt idx="0">
                  <c:v>0.84444444444444444</c:v>
                </c:pt>
                <c:pt idx="1">
                  <c:v>0.15555555555555556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6-4C17-8D79-AB3C9A59A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'Special Purchase Calculator'!$A$6</c:f>
          <c:strCache>
            <c:ptCount val="1"/>
            <c:pt idx="0">
              <c:v>New Phone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09-4A5B-81A2-A8FD969E773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09-4A5B-81A2-A8FD969E7737}"/>
              </c:ext>
            </c:extLst>
          </c:dPt>
          <c:val>
            <c:numRef>
              <c:f>'Special Purchase Calculator'!$G$6:$H$6</c:f>
              <c:numCache>
                <c:formatCode>0.00%</c:formatCode>
                <c:ptCount val="2"/>
                <c:pt idx="0">
                  <c:v>2.7272727272727271E-2</c:v>
                </c:pt>
                <c:pt idx="1">
                  <c:v>0.97272727272727277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09-4A5B-81A2-A8FD969E7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'Special Purchase Calculator'!$A$7</c:f>
          <c:strCache>
            <c:ptCount val="1"/>
            <c:pt idx="0">
              <c:v>UW Merch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F-4108-BBD6-1BE1310AB73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F-4108-BBD6-1BE1310AB737}"/>
              </c:ext>
            </c:extLst>
          </c:dPt>
          <c:val>
            <c:numRef>
              <c:f>'Special Purchase Calculator'!$G$7:$H$7</c:f>
              <c:numCache>
                <c:formatCode>0.00%</c:formatCode>
                <c:ptCount val="2"/>
                <c:pt idx="0">
                  <c:v>0.8</c:v>
                </c:pt>
                <c:pt idx="1">
                  <c:v>0.19999999999999996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7F-4108-BBD6-1BE1310AB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'Special Purchase Calculator'!$A$8</c:f>
          <c:strCache>
            <c:ptCount val="1"/>
            <c:pt idx="0">
              <c:v>Ikea Desk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12811588148605"/>
          <c:y val="0.15993686879036517"/>
          <c:w val="0.46746077547827042"/>
          <c:h val="0.7738170908822645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EF-437A-B912-A2F6D5721DD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EF-437A-B912-A2F6D5721DD6}"/>
              </c:ext>
            </c:extLst>
          </c:dPt>
          <c:val>
            <c:numRef>
              <c:f>'Special Purchase Calculator'!$G$8:$H$8</c:f>
              <c:numCache>
                <c:formatCode>0.00%</c:formatCode>
                <c:ptCount val="2"/>
                <c:pt idx="0">
                  <c:v>0.12</c:v>
                </c:pt>
                <c:pt idx="1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F-437A-B912-A2F6D572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'Special Purchase Calculator'!$A$9</c:f>
          <c:strCache>
            <c:ptCount val="1"/>
            <c:pt idx="0">
              <c:v>Loan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44388834907423"/>
          <c:y val="0.15930735930735929"/>
          <c:w val="0.52367798116673336"/>
          <c:h val="0.793073593073593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86-46E2-AA05-ECCAC29D99C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86-46E2-AA05-ECCAC29D99CF}"/>
              </c:ext>
            </c:extLst>
          </c:dPt>
          <c:val>
            <c:numRef>
              <c:f>'Special Purchase Calculator'!$G$9:$H$9</c:f>
              <c:numCache>
                <c:formatCode>0.00%</c:formatCode>
                <c:ptCount val="2"/>
                <c:pt idx="0">
                  <c:v>0.03</c:v>
                </c:pt>
                <c:pt idx="1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86-46E2-AA05-ECCAC29D9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'Special Purchase Calculator'!$A$10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AF-49FF-9772-91A6B7831F3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AF-49FF-9772-91A6B7831F33}"/>
              </c:ext>
            </c:extLst>
          </c:dPt>
          <c:val>
            <c:numRef>
              <c:f>'Special Purchase Calculator'!$G$10:$H$10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AF-49FF-9772-91A6B783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</xdr:colOff>
          <xdr:row>6</xdr:row>
          <xdr:rowOff>25400</xdr:rowOff>
        </xdr:from>
        <xdr:to>
          <xdr:col>7</xdr:col>
          <xdr:colOff>38100</xdr:colOff>
          <xdr:row>10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1) Income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196850</xdr:colOff>
          <xdr:row>6</xdr:row>
          <xdr:rowOff>76200</xdr:rowOff>
        </xdr:from>
        <xdr:to>
          <xdr:col>10</xdr:col>
          <xdr:colOff>190500</xdr:colOff>
          <xdr:row>10</xdr:row>
          <xdr:rowOff>82550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2)Expenses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6</xdr:row>
          <xdr:rowOff>69850</xdr:rowOff>
        </xdr:from>
        <xdr:to>
          <xdr:col>13</xdr:col>
          <xdr:colOff>444500</xdr:colOff>
          <xdr:row>10</xdr:row>
          <xdr:rowOff>63500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3) Expense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14</xdr:row>
          <xdr:rowOff>63500</xdr:rowOff>
        </xdr:from>
        <xdr:to>
          <xdr:col>7</xdr:col>
          <xdr:colOff>88900</xdr:colOff>
          <xdr:row>18</xdr:row>
          <xdr:rowOff>57150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4) Special Purchase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14</xdr:row>
          <xdr:rowOff>50800</xdr:rowOff>
        </xdr:from>
        <xdr:to>
          <xdr:col>10</xdr:col>
          <xdr:colOff>387350</xdr:colOff>
          <xdr:row>18</xdr:row>
          <xdr:rowOff>44450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5)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14</xdr:row>
          <xdr:rowOff>19050</xdr:rowOff>
        </xdr:from>
        <xdr:to>
          <xdr:col>13</xdr:col>
          <xdr:colOff>495300</xdr:colOff>
          <xdr:row>18</xdr:row>
          <xdr:rowOff>31750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6) Financial Advice 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241300</xdr:colOff>
      <xdr:row>3</xdr:row>
      <xdr:rowOff>38100</xdr:rowOff>
    </xdr:from>
    <xdr:to>
      <xdr:col>17</xdr:col>
      <xdr:colOff>381000</xdr:colOff>
      <xdr:row>4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0900" y="996950"/>
          <a:ext cx="9893300" cy="4572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0">
              <a:solidFill>
                <a:schemeClr val="accent5">
                  <a:lumMod val="75000"/>
                </a:schemeClr>
              </a:solidFill>
              <a:latin typeface="Amasis MT Pro Black" panose="02040A04050005020304" pitchFamily="18" charset="0"/>
            </a:rPr>
            <a:t>Click on each button to give you a brief introduction to each function. The</a:t>
          </a:r>
          <a:r>
            <a:rPr lang="en-CA" sz="1200" b="0" baseline="0">
              <a:solidFill>
                <a:schemeClr val="accent5">
                  <a:lumMod val="75000"/>
                </a:schemeClr>
              </a:solidFill>
              <a:latin typeface="Amasis MT Pro Black" panose="02040A04050005020304" pitchFamily="18" charset="0"/>
            </a:rPr>
            <a:t> button</a:t>
          </a:r>
          <a:r>
            <a:rPr lang="en-CA" sz="1200" b="0">
              <a:solidFill>
                <a:schemeClr val="accent5">
                  <a:lumMod val="75000"/>
                </a:schemeClr>
              </a:solidFill>
              <a:latin typeface="Amasis MT Pro Black" panose="02040A04050005020304" pitchFamily="18" charset="0"/>
            </a:rPr>
            <a:t> will then take you to its</a:t>
          </a:r>
          <a:r>
            <a:rPr lang="en-CA" sz="1200" b="0" baseline="0">
              <a:solidFill>
                <a:schemeClr val="accent5">
                  <a:lumMod val="75000"/>
                </a:schemeClr>
              </a:solidFill>
              <a:latin typeface="Amasis MT Pro Black" panose="02040A04050005020304" pitchFamily="18" charset="0"/>
            </a:rPr>
            <a:t> sheet where the function is located. To get a more indepth understanding of the function, click on the "Read Me!" button within the sheet.</a:t>
          </a:r>
          <a:endParaRPr lang="en-CA" sz="1200" b="0">
            <a:solidFill>
              <a:schemeClr val="accent5">
                <a:lumMod val="75000"/>
              </a:schemeClr>
            </a:solidFill>
            <a:latin typeface="Amasis MT Pro Black" panose="02040A040500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330200</xdr:colOff>
          <xdr:row>7</xdr:row>
          <xdr:rowOff>19050</xdr:rowOff>
        </xdr:from>
        <xdr:to>
          <xdr:col>4</xdr:col>
          <xdr:colOff>1993900</xdr:colOff>
          <xdr:row>9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11</xdr:row>
          <xdr:rowOff>19050</xdr:rowOff>
        </xdr:from>
        <xdr:to>
          <xdr:col>4</xdr:col>
          <xdr:colOff>2025650</xdr:colOff>
          <xdr:row>13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4</xdr:row>
          <xdr:rowOff>19050</xdr:rowOff>
        </xdr:from>
        <xdr:to>
          <xdr:col>3</xdr:col>
          <xdr:colOff>488950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1</xdr:row>
          <xdr:rowOff>76200</xdr:rowOff>
        </xdr:from>
        <xdr:to>
          <xdr:col>3</xdr:col>
          <xdr:colOff>495300</xdr:colOff>
          <xdr:row>3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10</xdr:row>
          <xdr:rowOff>19050</xdr:rowOff>
        </xdr:from>
        <xdr:to>
          <xdr:col>5</xdr:col>
          <xdr:colOff>19050</xdr:colOff>
          <xdr:row>14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3105150</xdr:colOff>
          <xdr:row>4</xdr:row>
          <xdr:rowOff>177800</xdr:rowOff>
        </xdr:from>
        <xdr:to>
          <xdr:col>4</xdr:col>
          <xdr:colOff>3352800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41276</xdr:colOff>
      <xdr:row>3</xdr:row>
      <xdr:rowOff>95250</xdr:rowOff>
    </xdr:from>
    <xdr:to>
      <xdr:col>5</xdr:col>
      <xdr:colOff>691404</xdr:colOff>
      <xdr:row>25</xdr:row>
      <xdr:rowOff>178921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6350</xdr:colOff>
      <xdr:row>2</xdr:row>
      <xdr:rowOff>12700</xdr:rowOff>
    </xdr:from>
    <xdr:to>
      <xdr:col>5</xdr:col>
      <xdr:colOff>552450</xdr:colOff>
      <xdr:row>18</xdr:row>
      <xdr:rowOff>196850</xdr:rowOff>
    </xdr:to>
    <xdr:grpSp>
      <xdr:nvGrpSpPr>
        <xdr:cNvPr id="20610" name="MonthsGrp" hidden="1">
          <a:extLst>
            <a:ext uri="{FF2B5EF4-FFF2-40B4-BE49-F238E27FC236}">
              <a16:creationId xmlns:a16="http://schemas.microsoft.com/office/drawing/2014/main" id="{00000000-0008-0000-0400-000082500000}"/>
            </a:ext>
          </a:extLst>
        </xdr:cNvPr>
        <xdr:cNvGrpSpPr/>
      </xdr:nvGrpSpPr>
      <xdr:grpSpPr>
        <a:xfrm>
          <a:off x="2654300" y="860425"/>
          <a:ext cx="1155700" cy="3422650"/>
          <a:chOff x="2755526" y="834465"/>
          <a:chExt cx="1158689" cy="3463738"/>
        </a:xfrm>
      </xdr:grpSpPr>
      <xdr:sp macro="[0]!MonthsGrp_Click" textlink="">
        <xdr:nvSpPr>
          <xdr:cNvPr id="20611" name="January" hidden="1">
            <a:extLst>
              <a:ext uri="{FF2B5EF4-FFF2-40B4-BE49-F238E27FC236}">
                <a16:creationId xmlns:a16="http://schemas.microsoft.com/office/drawing/2014/main" id="{00000000-0008-0000-0400-000083500000}"/>
              </a:ext>
            </a:extLst>
          </xdr:cNvPr>
          <xdr:cNvSpPr/>
        </xdr:nvSpPr>
        <xdr:spPr>
          <a:xfrm>
            <a:off x="2755526" y="834465"/>
            <a:ext cx="1120589" cy="282014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January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2" name="February" hidden="1">
            <a:extLst>
              <a:ext uri="{FF2B5EF4-FFF2-40B4-BE49-F238E27FC236}">
                <a16:creationId xmlns:a16="http://schemas.microsoft.com/office/drawing/2014/main" id="{00000000-0008-0000-0400-000084500000}"/>
              </a:ext>
            </a:extLst>
          </xdr:cNvPr>
          <xdr:cNvSpPr/>
        </xdr:nvSpPr>
        <xdr:spPr>
          <a:xfrm>
            <a:off x="2755526" y="1135529"/>
            <a:ext cx="1120589" cy="284630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February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3" name="March" hidden="1">
            <a:extLst>
              <a:ext uri="{FF2B5EF4-FFF2-40B4-BE49-F238E27FC236}">
                <a16:creationId xmlns:a16="http://schemas.microsoft.com/office/drawing/2014/main" id="{00000000-0008-0000-0400-000085500000}"/>
              </a:ext>
            </a:extLst>
          </xdr:cNvPr>
          <xdr:cNvSpPr/>
        </xdr:nvSpPr>
        <xdr:spPr>
          <a:xfrm>
            <a:off x="2761876" y="1426509"/>
            <a:ext cx="1120589" cy="282015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March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4" name="April" hidden="1">
            <a:extLst>
              <a:ext uri="{FF2B5EF4-FFF2-40B4-BE49-F238E27FC236}">
                <a16:creationId xmlns:a16="http://schemas.microsoft.com/office/drawing/2014/main" id="{00000000-0008-0000-0400-000086500000}"/>
              </a:ext>
            </a:extLst>
          </xdr:cNvPr>
          <xdr:cNvSpPr/>
        </xdr:nvSpPr>
        <xdr:spPr>
          <a:xfrm>
            <a:off x="2761876" y="1721224"/>
            <a:ext cx="1120589" cy="284629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April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5" name="May" hidden="1">
            <a:extLst>
              <a:ext uri="{FF2B5EF4-FFF2-40B4-BE49-F238E27FC236}">
                <a16:creationId xmlns:a16="http://schemas.microsoft.com/office/drawing/2014/main" id="{00000000-0008-0000-0400-000087500000}"/>
              </a:ext>
            </a:extLst>
          </xdr:cNvPr>
          <xdr:cNvSpPr/>
        </xdr:nvSpPr>
        <xdr:spPr>
          <a:xfrm>
            <a:off x="2761876" y="2018553"/>
            <a:ext cx="1120589" cy="282762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May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6" name="June" hidden="1">
            <a:extLst>
              <a:ext uri="{FF2B5EF4-FFF2-40B4-BE49-F238E27FC236}">
                <a16:creationId xmlns:a16="http://schemas.microsoft.com/office/drawing/2014/main" id="{00000000-0008-0000-0400-000088500000}"/>
              </a:ext>
            </a:extLst>
          </xdr:cNvPr>
          <xdr:cNvSpPr/>
        </xdr:nvSpPr>
        <xdr:spPr>
          <a:xfrm>
            <a:off x="2761876" y="2301315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June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7" name="July" hidden="1">
            <a:extLst>
              <a:ext uri="{FF2B5EF4-FFF2-40B4-BE49-F238E27FC236}">
                <a16:creationId xmlns:a16="http://schemas.microsoft.com/office/drawing/2014/main" id="{00000000-0008-0000-0400-000089500000}"/>
              </a:ext>
            </a:extLst>
          </xdr:cNvPr>
          <xdr:cNvSpPr/>
        </xdr:nvSpPr>
        <xdr:spPr>
          <a:xfrm>
            <a:off x="2768226" y="2586691"/>
            <a:ext cx="1120589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July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8" name="August" hidden="1">
            <a:extLst>
              <a:ext uri="{FF2B5EF4-FFF2-40B4-BE49-F238E27FC236}">
                <a16:creationId xmlns:a16="http://schemas.microsoft.com/office/drawing/2014/main" id="{00000000-0008-0000-0400-00008A500000}"/>
              </a:ext>
            </a:extLst>
          </xdr:cNvPr>
          <xdr:cNvSpPr/>
        </xdr:nvSpPr>
        <xdr:spPr>
          <a:xfrm>
            <a:off x="2774576" y="2878044"/>
            <a:ext cx="1120589" cy="279027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August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19" name="September" hidden="1">
            <a:extLst>
              <a:ext uri="{FF2B5EF4-FFF2-40B4-BE49-F238E27FC236}">
                <a16:creationId xmlns:a16="http://schemas.microsoft.com/office/drawing/2014/main" id="{00000000-0008-0000-0400-00008B500000}"/>
              </a:ext>
            </a:extLst>
          </xdr:cNvPr>
          <xdr:cNvSpPr/>
        </xdr:nvSpPr>
        <xdr:spPr>
          <a:xfrm>
            <a:off x="2774576" y="3169771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300">
                <a:solidFill>
                  <a:schemeClr val="tx1"/>
                </a:solidFill>
                <a:latin typeface="Amasis MT Pro Black" panose="02040A04050005020304" pitchFamily="18" charset="0"/>
              </a:rPr>
              <a:t>September</a:t>
            </a:r>
          </a:p>
        </xdr:txBody>
      </xdr:sp>
      <xdr:sp macro="[0]!MonthsGrp_Click" textlink="">
        <xdr:nvSpPr>
          <xdr:cNvPr id="20620" name="November" hidden="1">
            <a:extLst>
              <a:ext uri="{FF2B5EF4-FFF2-40B4-BE49-F238E27FC236}">
                <a16:creationId xmlns:a16="http://schemas.microsoft.com/office/drawing/2014/main" id="{00000000-0008-0000-0400-00008C500000}"/>
              </a:ext>
            </a:extLst>
          </xdr:cNvPr>
          <xdr:cNvSpPr/>
        </xdr:nvSpPr>
        <xdr:spPr>
          <a:xfrm>
            <a:off x="2793626" y="3733800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November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21" name="October" hidden="1">
            <a:extLst>
              <a:ext uri="{FF2B5EF4-FFF2-40B4-BE49-F238E27FC236}">
                <a16:creationId xmlns:a16="http://schemas.microsoft.com/office/drawing/2014/main" id="{00000000-0008-0000-0400-00008D500000}"/>
              </a:ext>
            </a:extLst>
          </xdr:cNvPr>
          <xdr:cNvSpPr/>
        </xdr:nvSpPr>
        <xdr:spPr>
          <a:xfrm>
            <a:off x="2787276" y="3448797"/>
            <a:ext cx="1120589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October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0622" name="December" hidden="1">
            <a:extLst>
              <a:ext uri="{FF2B5EF4-FFF2-40B4-BE49-F238E27FC236}">
                <a16:creationId xmlns:a16="http://schemas.microsoft.com/office/drawing/2014/main" id="{00000000-0008-0000-0400-00008E500000}"/>
              </a:ext>
            </a:extLst>
          </xdr:cNvPr>
          <xdr:cNvSpPr/>
        </xdr:nvSpPr>
        <xdr:spPr>
          <a:xfrm>
            <a:off x="2793626" y="4019176"/>
            <a:ext cx="1120589" cy="279027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December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</xdr:grpSp>
    <xdr:clientData/>
  </xdr:twoCellAnchor>
  <xdr:twoCellAnchor>
    <xdr:from>
      <xdr:col>2</xdr:col>
      <xdr:colOff>171450</xdr:colOff>
      <xdr:row>1</xdr:row>
      <xdr:rowOff>101600</xdr:rowOff>
    </xdr:from>
    <xdr:to>
      <xdr:col>2</xdr:col>
      <xdr:colOff>342900</xdr:colOff>
      <xdr:row>1</xdr:row>
      <xdr:rowOff>254000</xdr:rowOff>
    </xdr:to>
    <xdr:sp macro="[0]!_xludf.Year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68450" y="692150"/>
          <a:ext cx="171450" cy="152400"/>
        </a:xfrm>
        <a:prstGeom prst="down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487829</xdr:colOff>
      <xdr:row>1</xdr:row>
      <xdr:rowOff>119904</xdr:rowOff>
    </xdr:from>
    <xdr:to>
      <xdr:col>5</xdr:col>
      <xdr:colOff>659279</xdr:colOff>
      <xdr:row>1</xdr:row>
      <xdr:rowOff>272304</xdr:rowOff>
    </xdr:to>
    <xdr:sp macro="[0]!ArrowDown4_Click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40629" y="710454"/>
          <a:ext cx="171450" cy="152400"/>
        </a:xfrm>
        <a:prstGeom prst="down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38100</xdr:colOff>
      <xdr:row>2</xdr:row>
      <xdr:rowOff>12700</xdr:rowOff>
    </xdr:from>
    <xdr:to>
      <xdr:col>2</xdr:col>
      <xdr:colOff>368300</xdr:colOff>
      <xdr:row>25</xdr:row>
      <xdr:rowOff>38100</xdr:rowOff>
    </xdr:to>
    <xdr:grpSp>
      <xdr:nvGrpSpPr>
        <xdr:cNvPr id="35" name="YearsGrp" hidden="1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pSpPr/>
      </xdr:nvGrpSpPr>
      <xdr:grpSpPr>
        <a:xfrm>
          <a:off x="581025" y="860425"/>
          <a:ext cx="1120775" cy="4568825"/>
          <a:chOff x="605865" y="834465"/>
          <a:chExt cx="1159435" cy="4642223"/>
        </a:xfrm>
      </xdr:grpSpPr>
      <xdr:sp macro="[0]!Year_Select" textlink="">
        <xdr:nvSpPr>
          <xdr:cNvPr id="6" name="2018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605865" y="834465"/>
            <a:ext cx="1114985" cy="282014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2018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7" name="2019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05865" y="1129179"/>
            <a:ext cx="1114985" cy="284630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2019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8" name="2020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05865" y="1426509"/>
            <a:ext cx="1114985" cy="282015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2020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9" name="2021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605865" y="1721224"/>
            <a:ext cx="1114985" cy="284629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2021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0" name="2022" hidden="1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605865" y="2018553"/>
            <a:ext cx="1114985" cy="282762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2022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1" name="2023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605865" y="2314015"/>
            <a:ext cx="1114985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2023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2" name="2024" hidden="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605865" y="2605741"/>
            <a:ext cx="1114985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2024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3" name="2025" hidden="1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05865" y="2897094"/>
            <a:ext cx="1114985" cy="279027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2025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4" name="2026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605865" y="3188821"/>
            <a:ext cx="1114985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2026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5" name="2027" hidden="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12215" y="3473824"/>
            <a:ext cx="1114985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2027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6" name="2028" hidden="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618565" y="3759200"/>
            <a:ext cx="1114985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2028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7" name="2029" hidden="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624915" y="4044576"/>
            <a:ext cx="1114985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2029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8" name="2030" hidden="1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631265" y="4329579"/>
            <a:ext cx="1114985" cy="27678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2030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19" name="2031" hidden="1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637615" y="4612715"/>
            <a:ext cx="1114985" cy="284629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2031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20" name="2032" hidden="1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643965" y="4903694"/>
            <a:ext cx="1114985" cy="282015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2032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Year_Select" textlink="">
        <xdr:nvSpPr>
          <xdr:cNvPr id="21" name="2033" hidden="1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650315" y="5192059"/>
            <a:ext cx="1114985" cy="284629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600">
                <a:solidFill>
                  <a:schemeClr val="tx1"/>
                </a:solidFill>
                <a:latin typeface="Amasis MT Pro Black" panose="02040A04050005020304" pitchFamily="18" charset="0"/>
              </a:rPr>
              <a:t>2033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</xdr:grpSp>
    <xdr:clientData/>
  </xdr:twoCellAnchor>
  <xdr:twoCellAnchor>
    <xdr:from>
      <xdr:col>4</xdr:col>
      <xdr:colOff>6350</xdr:colOff>
      <xdr:row>2</xdr:row>
      <xdr:rowOff>12700</xdr:rowOff>
    </xdr:from>
    <xdr:to>
      <xdr:col>5</xdr:col>
      <xdr:colOff>552450</xdr:colOff>
      <xdr:row>18</xdr:row>
      <xdr:rowOff>196850</xdr:rowOff>
    </xdr:to>
    <xdr:grpSp>
      <xdr:nvGrpSpPr>
        <xdr:cNvPr id="34" name="MonthsGrp" hidden="1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pSpPr/>
      </xdr:nvGrpSpPr>
      <xdr:grpSpPr>
        <a:xfrm>
          <a:off x="2654300" y="860425"/>
          <a:ext cx="1155700" cy="3422650"/>
          <a:chOff x="2755526" y="834465"/>
          <a:chExt cx="1158689" cy="3463738"/>
        </a:xfrm>
      </xdr:grpSpPr>
      <xdr:sp macro="[0]!MonthsGrp_Click" textlink="">
        <xdr:nvSpPr>
          <xdr:cNvPr id="22" name="January" hidden="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2755526" y="834465"/>
            <a:ext cx="1120589" cy="282014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January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3" name="February" hidden="1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2755526" y="1135529"/>
            <a:ext cx="1120589" cy="284630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February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4" name="March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2761876" y="1426509"/>
            <a:ext cx="1120589" cy="282015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March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5" name="April" hidden="1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2761876" y="1721224"/>
            <a:ext cx="1120589" cy="284629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April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6" name="May" hidden="1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2761876" y="2018553"/>
            <a:ext cx="1120589" cy="282762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May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7" name="June" hidden="1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2761876" y="2301315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June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8" name="July" hidden="1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768226" y="2586691"/>
            <a:ext cx="1120589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July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29" name="August" hidden="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774576" y="2878044"/>
            <a:ext cx="1120589" cy="279027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August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30" name="September" hidden="1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2774576" y="3169771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300">
                <a:solidFill>
                  <a:schemeClr val="tx1"/>
                </a:solidFill>
                <a:latin typeface="Amasis MT Pro Black" panose="02040A04050005020304" pitchFamily="18" charset="0"/>
              </a:rPr>
              <a:t>September</a:t>
            </a:r>
          </a:p>
        </xdr:txBody>
      </xdr:sp>
      <xdr:sp macro="[0]!MonthsGrp_Click" textlink="">
        <xdr:nvSpPr>
          <xdr:cNvPr id="31" name="November" hidden="1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2793626" y="3733800"/>
            <a:ext cx="1120589" cy="279026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November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32" name="October" hidden="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787276" y="3448797"/>
            <a:ext cx="1120589" cy="278653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October</a:t>
            </a:r>
            <a:endParaRPr lang="en-CA" sz="12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  <xdr:sp macro="[0]!MonthsGrp_Click" textlink="">
        <xdr:nvSpPr>
          <xdr:cNvPr id="33" name="December" hidden="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793626" y="4019176"/>
            <a:ext cx="1120589" cy="279027"/>
          </a:xfrm>
          <a:prstGeom prst="rect">
            <a:avLst/>
          </a:prstGeom>
          <a:solidFill>
            <a:srgbClr val="FFE699">
              <a:alpha val="8902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>
                <a:solidFill>
                  <a:schemeClr val="tx1"/>
                </a:solidFill>
                <a:latin typeface="Amasis MT Pro Black" panose="02040A04050005020304" pitchFamily="18" charset="0"/>
              </a:rPr>
              <a:t>December</a:t>
            </a:r>
            <a:endParaRPr lang="en-CA" sz="1100">
              <a:solidFill>
                <a:schemeClr val="tx1"/>
              </a:solidFill>
              <a:latin typeface="Amasis MT Pro Black" panose="02040A04050005020304" pitchFamily="18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1117600</xdr:colOff>
          <xdr:row>3</xdr:row>
          <xdr:rowOff>0</xdr:rowOff>
        </xdr:from>
        <xdr:to>
          <xdr:col>12</xdr:col>
          <xdr:colOff>6350</xdr:colOff>
          <xdr:row>6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911411</xdr:colOff>
      <xdr:row>8</xdr:row>
      <xdr:rowOff>29883</xdr:rowOff>
    </xdr:from>
    <xdr:to>
      <xdr:col>7</xdr:col>
      <xdr:colOff>403411</xdr:colOff>
      <xdr:row>24</xdr:row>
      <xdr:rowOff>153894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57150</xdr:rowOff>
        </xdr:from>
        <xdr:to>
          <xdr:col>2</xdr:col>
          <xdr:colOff>527050</xdr:colOff>
          <xdr:row>0</xdr:row>
          <xdr:rowOff>501650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Read Me!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0.27437</cdr:x>
      <cdr:y>0.41755</cdr:y>
    </cdr:from>
    <cdr:to>
      <cdr:x>0.72261</cdr:x>
      <cdr:y>0.67171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5FD3F5-9844-408B-A828-5B187893987B}"/>
            </a:ext>
          </a:extLst>
        </cdr:cNvPr>
        <cdr:cNvSpPr txBox="1"/>
      </cdr:nvSpPr>
      <cdr:spPr>
        <a:xfrm xmlns:a="http://schemas.openxmlformats.org/drawingml/2006/main">
          <a:off x="866775" y="1752600"/>
          <a:ext cx="1416050" cy="1066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  <cdr:relSizeAnchor xmlns:cdr="http://schemas.openxmlformats.org/drawingml/2006/chartDrawing">
    <cdr:from>
      <cdr:x>0.24623</cdr:x>
      <cdr:y>0.39486</cdr:y>
    </cdr:from>
    <cdr:to>
      <cdr:x>0.73266</cdr:x>
      <cdr:y>0.69894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B4F0D93-02F2-4DA0-AADD-A2E95E0D9F87}"/>
            </a:ext>
          </a:extLst>
        </cdr:cNvPr>
        <cdr:cNvSpPr txBox="1"/>
      </cdr:nvSpPr>
      <cdr:spPr>
        <a:xfrm xmlns:a="http://schemas.openxmlformats.org/drawingml/2006/main">
          <a:off x="777875" y="1657350"/>
          <a:ext cx="1536700" cy="1276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0.19456</cdr:x>
      <cdr:y>0.34523</cdr:y>
    </cdr:from>
    <cdr:to>
      <cdr:x>0.80695</cdr:x>
      <cdr:y>0.73319</cdr:y>
    </cdr:to>
    <cdr:sp macro="" textlink="'Expense Output'!$L$2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F8708B2-D514-4531-99F6-EC91A9F0C708}"/>
            </a:ext>
          </a:extLst>
        </cdr:cNvPr>
        <cdr:cNvSpPr txBox="1"/>
      </cdr:nvSpPr>
      <cdr:spPr>
        <a:xfrm xmlns:a="http://schemas.openxmlformats.org/drawingml/2006/main">
          <a:off x="670095" y="1445559"/>
          <a:ext cx="2109149" cy="1624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83EC973-D320-4349-8EF8-84E9AC72FBD3}" type="TxLink">
            <a:rPr lang="en-US" sz="2000" b="1" i="0" u="none" strike="noStrike">
              <a:solidFill>
                <a:schemeClr val="accent6"/>
              </a:solidFill>
              <a:latin typeface="Calibri"/>
            </a:rPr>
            <a:pPr algn="ctr"/>
            <a:t>$900 is the amount of budget remaining</a:t>
          </a:fld>
          <a:endParaRPr lang="en-CA" sz="2000" b="1" u="none">
            <a:solidFill>
              <a:schemeClr val="accent6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831850</xdr:colOff>
          <xdr:row>0</xdr:row>
          <xdr:rowOff>171450</xdr:rowOff>
        </xdr:from>
        <xdr:to>
          <xdr:col>5</xdr:col>
          <xdr:colOff>723900</xdr:colOff>
          <xdr:row>2</xdr:row>
          <xdr:rowOff>6350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92074</xdr:colOff>
      <xdr:row>1</xdr:row>
      <xdr:rowOff>97366</xdr:rowOff>
    </xdr:from>
    <xdr:to>
      <xdr:col>16</xdr:col>
      <xdr:colOff>396874</xdr:colOff>
      <xdr:row>15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194733</xdr:colOff>
      <xdr:row>16</xdr:row>
      <xdr:rowOff>133350</xdr:rowOff>
    </xdr:from>
    <xdr:to>
      <xdr:col>16</xdr:col>
      <xdr:colOff>499533</xdr:colOff>
      <xdr:row>31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264583</xdr:colOff>
      <xdr:row>1</xdr:row>
      <xdr:rowOff>74083</xdr:rowOff>
    </xdr:from>
    <xdr:to>
      <xdr:col>24</xdr:col>
      <xdr:colOff>410633</xdr:colOff>
      <xdr:row>15</xdr:row>
      <xdr:rowOff>33867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224366</xdr:colOff>
      <xdr:row>16</xdr:row>
      <xdr:rowOff>122767</xdr:rowOff>
    </xdr:from>
    <xdr:to>
      <xdr:col>24</xdr:col>
      <xdr:colOff>370416</xdr:colOff>
      <xdr:row>31</xdr:row>
      <xdr:rowOff>107951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0</xdr:row>
          <xdr:rowOff>107950</xdr:rowOff>
        </xdr:from>
        <xdr:to>
          <xdr:col>0</xdr:col>
          <xdr:colOff>1924050</xdr:colOff>
          <xdr:row>2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READ ME!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220133</xdr:colOff>
      <xdr:row>1</xdr:row>
      <xdr:rowOff>78317</xdr:rowOff>
    </xdr:from>
    <xdr:to>
      <xdr:col>32</xdr:col>
      <xdr:colOff>366183</xdr:colOff>
      <xdr:row>15</xdr:row>
      <xdr:rowOff>38101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281517</xdr:colOff>
      <xdr:row>16</xdr:row>
      <xdr:rowOff>97367</xdr:rowOff>
    </xdr:from>
    <xdr:to>
      <xdr:col>32</xdr:col>
      <xdr:colOff>427567</xdr:colOff>
      <xdr:row>31</xdr:row>
      <xdr:rowOff>78317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882650</xdr:colOff>
      <xdr:row>0</xdr:row>
      <xdr:rowOff>38100</xdr:rowOff>
    </xdr:from>
    <xdr:to>
      <xdr:col>8</xdr:col>
      <xdr:colOff>6350</xdr:colOff>
      <xdr:row>1</xdr:row>
      <xdr:rowOff>184150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544050" y="38100"/>
          <a:ext cx="2635250" cy="330200"/>
        </a:xfrm>
        <a:prstGeom prst="rightArrow">
          <a:avLst/>
        </a:prstGeom>
        <a:solidFill>
          <a:schemeClr val="accent4">
            <a:lumMod val="50000"/>
          </a:schemeClr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609600</xdr:colOff>
      <xdr:row>1</xdr:row>
      <xdr:rowOff>31750</xdr:rowOff>
    </xdr:from>
    <xdr:to>
      <xdr:col>8</xdr:col>
      <xdr:colOff>12700</xdr:colOff>
      <xdr:row>2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0210800" y="215900"/>
          <a:ext cx="2914650" cy="711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800">
              <a:solidFill>
                <a:schemeClr val="accent4">
                  <a:lumMod val="50000"/>
                </a:schemeClr>
              </a:solidFill>
              <a:latin typeface="Amasis MT Pro Black" panose="02040A04050005020304" pitchFamily="18" charset="0"/>
            </a:rPr>
            <a:t>Keep going</a:t>
          </a:r>
          <a:r>
            <a:rPr lang="en-CA" sz="1800" baseline="0">
              <a:solidFill>
                <a:schemeClr val="accent4">
                  <a:lumMod val="50000"/>
                </a:schemeClr>
              </a:solidFill>
              <a:latin typeface="Amasis MT Pro Black" panose="02040A04050005020304" pitchFamily="18" charset="0"/>
            </a:rPr>
            <a:t> right for 6 Charts!</a:t>
          </a:r>
          <a:endParaRPr lang="en-CA" sz="1800">
            <a:solidFill>
              <a:schemeClr val="accent4">
                <a:lumMod val="50000"/>
              </a:schemeClr>
            </a:solidFill>
            <a:latin typeface="Amasis MT Pro Black" panose="02040A04050005020304" pitchFamily="18" charset="0"/>
          </a:endParaRP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BF1885B-D3A2-4440-811A-7340BC9AB5E3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</a:rPr>
            <a:pPr algn="ctr"/>
            <a:t>84.44%</a:t>
          </a:fld>
          <a:endParaRPr lang="en-CA" sz="6600">
            <a:solidFill>
              <a:schemeClr val="accent6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6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E41C38A4-E527-47B8-B09A-1C4B56CD1810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2.73%</a:t>
          </a:fld>
          <a:endParaRPr lang="en-CA" sz="2800" b="0" i="0" u="none" strike="noStrike">
            <a:solidFill>
              <a:schemeClr val="accent6">
                <a:lumMod val="75000"/>
              </a:schemeClr>
            </a:solidFill>
            <a:latin typeface="Calibri"/>
            <a:ea typeface="+mn-ea"/>
            <a:cs typeface="+mn-cs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7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FB7DC398-1877-49B6-A5E6-D9C0AC961616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80.00%</a:t>
          </a:fld>
          <a:endParaRPr lang="en-CA" sz="2800" b="0" i="0" u="none" strike="noStrike">
            <a:solidFill>
              <a:schemeClr val="accent6">
                <a:lumMod val="75000"/>
              </a:schemeClr>
            </a:solidFill>
            <a:latin typeface="Calibri"/>
            <a:ea typeface="+mn-ea"/>
            <a:cs typeface="+mn-cs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8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3D511E16-9DE8-4391-A1A0-12169421495F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12.00%</a:t>
          </a:fld>
          <a:endParaRPr lang="en-CA" sz="2800" b="0" i="0" u="none" strike="noStrike">
            <a:solidFill>
              <a:schemeClr val="accent6">
                <a:lumMod val="75000"/>
              </a:schemeClr>
            </a:solidFill>
            <a:latin typeface="Calibri"/>
            <a:ea typeface="+mn-ea"/>
            <a:cs typeface="+mn-cs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2F5D1DD2-5129-45BE-A549-2450F412ED63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3.00%</a:t>
          </a:fld>
          <a:endParaRPr lang="en-CA" sz="2800" b="0" i="0" u="none" strike="noStrike">
            <a:solidFill>
              <a:schemeClr val="accent6">
                <a:lumMod val="75000"/>
              </a:schemeClr>
            </a:solidFill>
            <a:latin typeface="Calibri"/>
            <a:ea typeface="+mn-ea"/>
            <a:cs typeface="+mn-cs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0.36042</cdr:x>
      <cdr:y>0.40741</cdr:y>
    </cdr:from>
    <cdr:to>
      <cdr:x>0.65208</cdr:x>
      <cdr:y>0.7338</cdr:y>
    </cdr:to>
    <cdr:sp macro="" textlink="'Special Purchase Calculator'!$G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D5720A6-BC2A-48CE-BCFB-3EE1B25FA011}"/>
            </a:ext>
          </a:extLst>
        </cdr:cNvPr>
        <cdr:cNvSpPr txBox="1"/>
      </cdr:nvSpPr>
      <cdr:spPr>
        <a:xfrm xmlns:a="http://schemas.openxmlformats.org/drawingml/2006/main">
          <a:off x="1647825" y="1117600"/>
          <a:ext cx="1333500" cy="895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7A87939C-7A4F-482F-804D-E907A61729E0}" type="TxLink">
            <a:rPr lang="en-US" sz="2800" b="0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+mn-ea"/>
              <a:cs typeface="+mn-cs"/>
            </a:rPr>
            <a:pPr marL="0" indent="0" algn="ctr"/>
            <a:t> </a:t>
          </a:fld>
          <a:endParaRPr lang="en-CA" sz="2800" b="0" i="0" u="none" strike="noStrike">
            <a:solidFill>
              <a:schemeClr val="accent6">
                <a:lumMod val="75000"/>
              </a:schemeClr>
            </a:solidFill>
            <a:latin typeface="Calibri"/>
            <a:ea typeface="+mn-ea"/>
            <a:cs typeface="+mn-cs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355600</xdr:colOff>
          <xdr:row>8</xdr:row>
          <xdr:rowOff>38100</xdr:rowOff>
        </xdr:from>
        <xdr:to>
          <xdr:col>5</xdr:col>
          <xdr:colOff>457200</xdr:colOff>
          <xdr:row>11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349250</xdr:colOff>
          <xdr:row>4</xdr:row>
          <xdr:rowOff>12700</xdr:rowOff>
        </xdr:from>
        <xdr:to>
          <xdr:col>5</xdr:col>
          <xdr:colOff>463550</xdr:colOff>
          <xdr:row>7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Goal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273050</xdr:colOff>
          <xdr:row>3</xdr:row>
          <xdr:rowOff>38100</xdr:rowOff>
        </xdr:from>
        <xdr:to>
          <xdr:col>7</xdr:col>
          <xdr:colOff>1384300</xdr:colOff>
          <xdr:row>8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442CF-D627-4915-976E-6770D9BA8C5D}">
  <sheetPr codeName="Sheet5">
    <tabColor theme="8"/>
  </sheetPr>
  <dimension ref="A1:S24"/>
  <sheetViews>
    <sheetView tabSelected="1" workbookViewId="0">
      <selection activeCell="U7" sqref="U7"/>
    </sheetView>
  </sheetViews>
  <sheetFormatPr defaultRowHeight="14.45"/>
  <sheetData>
    <row r="1" spans="1:19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19" ht="42.95">
      <c r="A2" s="30"/>
      <c r="B2" s="30"/>
      <c r="C2" s="66" t="s">
        <v>0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30"/>
      <c r="S2" s="30"/>
    </row>
    <row r="3" spans="1:19">
      <c r="A3" s="30"/>
      <c r="B3" s="30"/>
      <c r="C3" s="54"/>
      <c r="D3" s="54"/>
      <c r="E3" s="54"/>
      <c r="F3" s="54"/>
      <c r="G3" s="54"/>
      <c r="H3" s="54"/>
      <c r="I3" s="54"/>
      <c r="J3" s="54"/>
      <c r="K3" s="59"/>
      <c r="L3" s="54"/>
      <c r="M3" s="54"/>
      <c r="N3" s="54"/>
      <c r="O3" s="55"/>
      <c r="P3" s="55"/>
      <c r="Q3" s="55"/>
      <c r="R3" s="30"/>
      <c r="S3" s="30"/>
    </row>
    <row r="4" spans="1:19" ht="27">
      <c r="A4" s="30"/>
      <c r="B4" s="46"/>
      <c r="C4" s="47"/>
      <c r="D4" s="46"/>
      <c r="E4" s="48"/>
      <c r="F4" s="48"/>
      <c r="G4" s="48"/>
      <c r="H4" s="48"/>
      <c r="I4" s="48"/>
      <c r="J4" s="48"/>
      <c r="K4" s="48"/>
      <c r="L4" s="48"/>
      <c r="M4" s="48"/>
      <c r="N4" s="48"/>
      <c r="O4" s="46"/>
      <c r="P4" s="46"/>
      <c r="Q4" s="46"/>
      <c r="R4" s="46"/>
      <c r="S4" s="30"/>
    </row>
    <row r="5" spans="1:19" ht="23.45">
      <c r="A5" s="30"/>
      <c r="B5" s="46"/>
      <c r="C5" s="49"/>
      <c r="D5" s="46"/>
      <c r="E5" s="48"/>
      <c r="F5" s="48"/>
      <c r="G5" s="48"/>
      <c r="H5" s="48"/>
      <c r="I5" s="48"/>
      <c r="J5" s="48"/>
      <c r="K5" s="48"/>
      <c r="L5" s="48"/>
      <c r="M5" s="48"/>
      <c r="N5" s="48"/>
      <c r="O5" s="46"/>
      <c r="P5" s="46"/>
      <c r="Q5" s="46"/>
      <c r="R5" s="46"/>
      <c r="S5" s="30"/>
    </row>
    <row r="6" spans="1:19">
      <c r="A6" s="30"/>
      <c r="B6" s="46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6"/>
      <c r="P6" s="46"/>
      <c r="Q6" s="46"/>
      <c r="R6" s="46"/>
      <c r="S6" s="30"/>
    </row>
    <row r="7" spans="1:19">
      <c r="A7" s="30"/>
      <c r="B7" s="46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6"/>
      <c r="P7" s="46"/>
      <c r="Q7" s="46"/>
      <c r="R7" s="46"/>
      <c r="S7" s="30"/>
    </row>
    <row r="8" spans="1:19">
      <c r="A8" s="30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30"/>
    </row>
    <row r="9" spans="1:19">
      <c r="A9" s="30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30"/>
    </row>
    <row r="10" spans="1:19">
      <c r="A10" s="30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30"/>
    </row>
    <row r="11" spans="1:19">
      <c r="A11" s="30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30"/>
    </row>
    <row r="12" spans="1:19">
      <c r="A12" s="30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30"/>
    </row>
    <row r="13" spans="1:19">
      <c r="A13" s="30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30"/>
    </row>
    <row r="14" spans="1:19">
      <c r="A14" s="30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30"/>
    </row>
    <row r="15" spans="1:19">
      <c r="A15" s="30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30"/>
    </row>
    <row r="16" spans="1:19">
      <c r="A16" s="30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30"/>
    </row>
    <row r="17" spans="1:19">
      <c r="A17" s="30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30"/>
    </row>
    <row r="18" spans="1:19">
      <c r="A18" s="30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30"/>
    </row>
    <row r="19" spans="1:19">
      <c r="A19" s="30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30"/>
    </row>
    <row r="20" spans="1:19">
      <c r="A20" s="30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30"/>
    </row>
    <row r="21" spans="1:19">
      <c r="A21" s="3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30"/>
    </row>
    <row r="22" spans="1:19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</row>
    <row r="23" spans="1:19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</row>
    <row r="24" spans="1:19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</sheetData>
  <mergeCells count="1">
    <mergeCell ref="C2:Q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ntroIncome_Click">
                <anchor mov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7</xdr:col>
                    <xdr:colOff>38100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Intro2_Click">
                <anchor moveWithCells="1" sizeWithCells="1">
                  <from>
                    <xdr:col>8</xdr:col>
                    <xdr:colOff>196850</xdr:colOff>
                    <xdr:row>6</xdr:row>
                    <xdr:rowOff>76200</xdr:rowOff>
                  </from>
                  <to>
                    <xdr:col>10</xdr:col>
                    <xdr:colOff>190500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6" name="Button 6">
              <controlPr defaultSize="0" print="0" autoFill="0" autoPict="0" macro="[0]!Intro3">
                <anchor moveWithCells="1" sizeWithCells="1">
                  <from>
                    <xdr:col>11</xdr:col>
                    <xdr:colOff>419100</xdr:colOff>
                    <xdr:row>6</xdr:row>
                    <xdr:rowOff>69850</xdr:rowOff>
                  </from>
                  <to>
                    <xdr:col>13</xdr:col>
                    <xdr:colOff>444500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intro4">
                <anchor moveWithCells="1" sizeWithCells="1">
                  <from>
                    <xdr:col>5</xdr:col>
                    <xdr:colOff>63500</xdr:colOff>
                    <xdr:row>14</xdr:row>
                    <xdr:rowOff>63500</xdr:rowOff>
                  </from>
                  <to>
                    <xdr:col>7</xdr:col>
                    <xdr:colOff>88900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intro5">
                <anchor moveWithCells="1" sizeWithCells="1">
                  <from>
                    <xdr:col>8</xdr:col>
                    <xdr:colOff>285750</xdr:colOff>
                    <xdr:row>14</xdr:row>
                    <xdr:rowOff>50800</xdr:rowOff>
                  </from>
                  <to>
                    <xdr:col>10</xdr:col>
                    <xdr:colOff>387350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9" name="Button 11">
              <controlPr defaultSize="0" print="0" autoFill="0" autoPict="0" macro="[0]!Intro7">
                <anchor moveWithCells="1" sizeWithCells="1">
                  <from>
                    <xdr:col>11</xdr:col>
                    <xdr:colOff>450850</xdr:colOff>
                    <xdr:row>14</xdr:row>
                    <xdr:rowOff>19050</xdr:rowOff>
                  </from>
                  <to>
                    <xdr:col>13</xdr:col>
                    <xdr:colOff>495300</xdr:colOff>
                    <xdr:row>18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B4E9-2935-4E2F-9957-86D5740E485D}">
  <sheetPr codeName="Sheet6">
    <tabColor theme="7" tint="0.39997558519241921"/>
  </sheetPr>
  <dimension ref="A1:F10"/>
  <sheetViews>
    <sheetView workbookViewId="0">
      <selection activeCell="F5" sqref="F5"/>
    </sheetView>
  </sheetViews>
  <sheetFormatPr defaultRowHeight="14.45"/>
  <cols>
    <col min="1" max="1" width="25.140625" customWidth="1"/>
    <col min="2" max="2" width="40.42578125" customWidth="1"/>
    <col min="3" max="3" width="32.42578125" style="20" customWidth="1"/>
    <col min="4" max="4" width="22.140625" customWidth="1"/>
    <col min="5" max="5" width="33" bestFit="1" customWidth="1"/>
    <col min="6" max="6" width="32.7109375" customWidth="1"/>
  </cols>
  <sheetData>
    <row r="1" spans="1:6" ht="46.5">
      <c r="A1" s="67" t="s">
        <v>1</v>
      </c>
      <c r="B1" s="67"/>
      <c r="C1" s="67"/>
      <c r="D1" s="67"/>
      <c r="E1" s="43" t="s">
        <v>2</v>
      </c>
      <c r="F1" s="45">
        <f>SUM(C3:C99999)</f>
        <v>0</v>
      </c>
    </row>
    <row r="2" spans="1:6" ht="15.6">
      <c r="A2" s="18" t="s">
        <v>3</v>
      </c>
      <c r="B2" s="35" t="s">
        <v>4</v>
      </c>
      <c r="C2" s="38" t="s">
        <v>5</v>
      </c>
      <c r="D2" s="35" t="s">
        <v>6</v>
      </c>
    </row>
    <row r="3" spans="1:6">
      <c r="B3" s="1"/>
      <c r="D3" s="1"/>
    </row>
    <row r="4" spans="1:6">
      <c r="B4" s="1"/>
      <c r="D4" s="1"/>
    </row>
    <row r="5" spans="1:6">
      <c r="B5" s="1"/>
      <c r="D5" s="1"/>
    </row>
    <row r="6" spans="1:6">
      <c r="B6" s="1"/>
      <c r="D6" s="1"/>
    </row>
    <row r="7" spans="1:6">
      <c r="B7" s="1"/>
      <c r="D7" s="1"/>
    </row>
    <row r="8" spans="1:6">
      <c r="B8" s="1"/>
      <c r="D8" s="1"/>
    </row>
    <row r="9" spans="1:6">
      <c r="B9" s="1"/>
      <c r="D9" s="1"/>
    </row>
    <row r="10" spans="1:6">
      <c r="B10" s="1"/>
      <c r="D10" s="1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>
                  <from>
                    <xdr:col>4</xdr:col>
                    <xdr:colOff>330200</xdr:colOff>
                    <xdr:row>7</xdr:row>
                    <xdr:rowOff>19050</xdr:rowOff>
                  </from>
                  <to>
                    <xdr:col>4</xdr:col>
                    <xdr:colOff>1993900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361950</xdr:colOff>
                    <xdr:row>11</xdr:row>
                    <xdr:rowOff>19050</xdr:rowOff>
                  </from>
                  <to>
                    <xdr:col>4</xdr:col>
                    <xdr:colOff>2025650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>
    <tabColor theme="7" tint="0.39997558519241921"/>
  </sheetPr>
  <dimension ref="A1:H23"/>
  <sheetViews>
    <sheetView workbookViewId="0">
      <selection activeCell="H15" sqref="H15"/>
    </sheetView>
  </sheetViews>
  <sheetFormatPr defaultRowHeight="14.45"/>
  <cols>
    <col min="1" max="1" width="18.140625" customWidth="1"/>
    <col min="2" max="2" width="17.5703125" customWidth="1"/>
    <col min="3" max="3" width="21.140625" customWidth="1"/>
    <col min="4" max="4" width="27.85546875" customWidth="1"/>
    <col min="5" max="5" width="10.140625" customWidth="1"/>
    <col min="6" max="6" width="18.42578125" customWidth="1"/>
    <col min="7" max="7" width="24.85546875" style="20" customWidth="1"/>
    <col min="8" max="8" width="27.5703125" bestFit="1" customWidth="1"/>
  </cols>
  <sheetData>
    <row r="1" spans="1:8" ht="36.6">
      <c r="A1" s="50" t="s">
        <v>7</v>
      </c>
      <c r="B1" s="68" t="s">
        <v>8</v>
      </c>
      <c r="C1" s="68"/>
      <c r="D1" s="68"/>
      <c r="E1" s="50" t="s">
        <v>9</v>
      </c>
      <c r="F1" s="50" t="s">
        <v>10</v>
      </c>
      <c r="G1" s="60" t="s">
        <v>5</v>
      </c>
      <c r="H1" s="50" t="s">
        <v>4</v>
      </c>
    </row>
    <row r="2" spans="1:8">
      <c r="A2" s="1">
        <v>43831</v>
      </c>
      <c r="E2" s="1">
        <v>44510</v>
      </c>
      <c r="F2" t="s">
        <v>11</v>
      </c>
      <c r="G2" s="20">
        <v>3700</v>
      </c>
      <c r="H2" t="s">
        <v>12</v>
      </c>
    </row>
    <row r="3" spans="1:8" ht="18.600000000000001">
      <c r="A3" s="50" t="s">
        <v>13</v>
      </c>
      <c r="E3" s="1">
        <v>44376</v>
      </c>
      <c r="F3" t="s">
        <v>14</v>
      </c>
      <c r="G3" s="20">
        <v>1180</v>
      </c>
      <c r="H3" t="s">
        <v>15</v>
      </c>
    </row>
    <row r="4" spans="1:8">
      <c r="A4" s="1">
        <v>44927</v>
      </c>
      <c r="E4" s="1">
        <v>44531</v>
      </c>
      <c r="F4" t="s">
        <v>16</v>
      </c>
      <c r="G4" s="20">
        <v>500</v>
      </c>
      <c r="H4" t="s">
        <v>17</v>
      </c>
    </row>
    <row r="5" spans="1:8">
      <c r="A5" s="1"/>
      <c r="E5" s="1">
        <v>44489</v>
      </c>
      <c r="F5" t="s">
        <v>18</v>
      </c>
      <c r="G5" s="20">
        <v>18000</v>
      </c>
      <c r="H5" t="s">
        <v>19</v>
      </c>
    </row>
    <row r="6" spans="1:8">
      <c r="E6" s="1">
        <v>44822</v>
      </c>
      <c r="F6" t="s">
        <v>20</v>
      </c>
      <c r="G6" s="20">
        <v>17000</v>
      </c>
      <c r="H6" t="s">
        <v>21</v>
      </c>
    </row>
    <row r="7" spans="1:8">
      <c r="E7" s="1">
        <v>44550</v>
      </c>
      <c r="F7" t="s">
        <v>16</v>
      </c>
      <c r="G7" s="20">
        <v>50</v>
      </c>
      <c r="H7" t="s">
        <v>22</v>
      </c>
    </row>
    <row r="8" spans="1:8">
      <c r="A8" t="s">
        <v>23</v>
      </c>
      <c r="E8" s="1">
        <v>44399</v>
      </c>
      <c r="F8" t="s">
        <v>18</v>
      </c>
      <c r="G8" s="20">
        <v>68</v>
      </c>
      <c r="H8" t="s">
        <v>24</v>
      </c>
    </row>
    <row r="9" spans="1:8">
      <c r="A9" t="s">
        <v>25</v>
      </c>
      <c r="E9" s="1">
        <v>44560</v>
      </c>
      <c r="F9" t="s">
        <v>16</v>
      </c>
      <c r="G9" s="20">
        <v>250</v>
      </c>
      <c r="H9" t="s">
        <v>26</v>
      </c>
    </row>
    <row r="10" spans="1:8">
      <c r="A10" t="s">
        <v>27</v>
      </c>
      <c r="E10" s="1"/>
    </row>
    <row r="11" spans="1:8">
      <c r="A11" t="s">
        <v>28</v>
      </c>
      <c r="E11" s="1"/>
    </row>
    <row r="12" spans="1:8">
      <c r="A12" t="s">
        <v>29</v>
      </c>
      <c r="E12" s="1"/>
    </row>
    <row r="13" spans="1:8">
      <c r="E13" s="1"/>
    </row>
    <row r="14" spans="1:8">
      <c r="E14" s="1"/>
    </row>
    <row r="15" spans="1:8">
      <c r="E15" s="1"/>
    </row>
    <row r="16" spans="1:8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</sheetData>
  <mergeCells count="1">
    <mergeCell ref="B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438150</xdr:colOff>
                    <xdr:row>4</xdr:row>
                    <xdr:rowOff>19050</xdr:rowOff>
                  </from>
                  <to>
                    <xdr:col>3</xdr:col>
                    <xdr:colOff>488950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469900</xdr:colOff>
                    <xdr:row>1</xdr:row>
                    <xdr:rowOff>76200</xdr:rowOff>
                  </from>
                  <to>
                    <xdr:col>3</xdr:col>
                    <xdr:colOff>495300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A1:F35"/>
  <sheetViews>
    <sheetView workbookViewId="0">
      <selection activeCell="E25" sqref="E25"/>
    </sheetView>
  </sheetViews>
  <sheetFormatPr defaultRowHeight="14.45"/>
  <cols>
    <col min="1" max="1" width="13.28515625" customWidth="1"/>
    <col min="2" max="2" width="19.28515625" customWidth="1"/>
    <col min="3" max="3" width="20.85546875" style="20" customWidth="1"/>
    <col min="4" max="4" width="44.85546875" customWidth="1"/>
    <col min="5" max="5" width="48.5703125" customWidth="1"/>
    <col min="6" max="6" width="30.5703125" customWidth="1"/>
  </cols>
  <sheetData>
    <row r="1" spans="1:6" ht="46.5">
      <c r="A1" s="67" t="s">
        <v>30</v>
      </c>
      <c r="B1" s="67"/>
      <c r="C1" s="67"/>
      <c r="D1" s="67"/>
      <c r="E1" s="43" t="s">
        <v>31</v>
      </c>
      <c r="F1" s="44">
        <f>SUM(C3:C99999)</f>
        <v>4424</v>
      </c>
    </row>
    <row r="2" spans="1:6" ht="15.6">
      <c r="A2" s="18" t="s">
        <v>9</v>
      </c>
      <c r="B2" s="35" t="s">
        <v>10</v>
      </c>
      <c r="C2" s="18" t="s">
        <v>5</v>
      </c>
      <c r="D2" s="35" t="s">
        <v>4</v>
      </c>
    </row>
    <row r="3" spans="1:6">
      <c r="A3" s="1">
        <v>44550</v>
      </c>
      <c r="B3" s="2" t="s">
        <v>32</v>
      </c>
      <c r="C3" s="20">
        <v>600</v>
      </c>
      <c r="D3" t="s">
        <v>33</v>
      </c>
    </row>
    <row r="4" spans="1:6">
      <c r="A4" s="1">
        <v>44550</v>
      </c>
      <c r="B4" s="2" t="s">
        <v>34</v>
      </c>
      <c r="C4" s="20">
        <v>20</v>
      </c>
      <c r="D4" t="s">
        <v>35</v>
      </c>
    </row>
    <row r="5" spans="1:6">
      <c r="A5" s="1">
        <v>44545</v>
      </c>
      <c r="B5" s="2" t="s">
        <v>34</v>
      </c>
      <c r="C5" s="20">
        <v>50</v>
      </c>
      <c r="D5" t="s">
        <v>36</v>
      </c>
    </row>
    <row r="6" spans="1:6">
      <c r="A6" s="1">
        <v>44556</v>
      </c>
      <c r="B6" s="2" t="s">
        <v>37</v>
      </c>
      <c r="C6" s="20">
        <v>350</v>
      </c>
      <c r="D6" t="s">
        <v>38</v>
      </c>
    </row>
    <row r="7" spans="1:6">
      <c r="A7" s="1">
        <v>44556</v>
      </c>
      <c r="B7" s="2" t="s">
        <v>39</v>
      </c>
      <c r="C7" s="20">
        <v>380</v>
      </c>
      <c r="D7" t="s">
        <v>40</v>
      </c>
    </row>
    <row r="8" spans="1:6">
      <c r="A8" s="1">
        <v>44556</v>
      </c>
      <c r="B8" s="2" t="s">
        <v>41</v>
      </c>
      <c r="C8" s="20">
        <v>20</v>
      </c>
      <c r="D8" t="s">
        <v>42</v>
      </c>
    </row>
    <row r="9" spans="1:6">
      <c r="A9" s="1">
        <v>44531</v>
      </c>
      <c r="B9" s="2" t="s">
        <v>11</v>
      </c>
      <c r="C9" s="20">
        <v>80</v>
      </c>
      <c r="D9" t="s">
        <v>43</v>
      </c>
    </row>
    <row r="10" spans="1:6">
      <c r="A10" s="1">
        <v>44550</v>
      </c>
      <c r="B10" s="2" t="s">
        <v>32</v>
      </c>
      <c r="C10" s="20">
        <v>600</v>
      </c>
      <c r="D10" t="s">
        <v>33</v>
      </c>
    </row>
    <row r="11" spans="1:6">
      <c r="A11" s="1">
        <v>44581</v>
      </c>
      <c r="B11" s="2" t="s">
        <v>34</v>
      </c>
      <c r="C11" s="20">
        <v>20</v>
      </c>
      <c r="D11" t="s">
        <v>35</v>
      </c>
    </row>
    <row r="12" spans="1:6">
      <c r="A12" s="1">
        <v>44582</v>
      </c>
      <c r="B12" s="2" t="s">
        <v>34</v>
      </c>
      <c r="C12" s="20">
        <v>50</v>
      </c>
      <c r="D12" t="s">
        <v>44</v>
      </c>
    </row>
    <row r="13" spans="1:6">
      <c r="A13" s="1">
        <v>44583</v>
      </c>
      <c r="B13" s="2" t="s">
        <v>37</v>
      </c>
      <c r="C13" s="20">
        <v>350</v>
      </c>
      <c r="D13" t="s">
        <v>45</v>
      </c>
    </row>
    <row r="14" spans="1:6">
      <c r="A14" s="1">
        <v>44584</v>
      </c>
      <c r="B14" s="2" t="s">
        <v>39</v>
      </c>
      <c r="C14" s="20">
        <v>380</v>
      </c>
      <c r="D14" t="s">
        <v>46</v>
      </c>
    </row>
    <row r="15" spans="1:6">
      <c r="A15" s="1">
        <v>44585</v>
      </c>
      <c r="B15" s="2" t="s">
        <v>41</v>
      </c>
      <c r="C15" s="20">
        <v>20</v>
      </c>
      <c r="D15" t="s">
        <v>42</v>
      </c>
    </row>
    <row r="16" spans="1:6">
      <c r="A16" s="1">
        <v>44586</v>
      </c>
      <c r="B16" s="2" t="s">
        <v>11</v>
      </c>
      <c r="C16" s="20">
        <v>80</v>
      </c>
      <c r="D16" t="s">
        <v>43</v>
      </c>
    </row>
    <row r="17" spans="1:5">
      <c r="A17" s="1">
        <v>44587</v>
      </c>
      <c r="B17" s="2" t="s">
        <v>32</v>
      </c>
      <c r="C17" s="20">
        <v>600</v>
      </c>
      <c r="D17" t="s">
        <v>33</v>
      </c>
    </row>
    <row r="18" spans="1:5">
      <c r="A18" s="1">
        <v>44588</v>
      </c>
      <c r="B18" s="2" t="s">
        <v>34</v>
      </c>
      <c r="C18" s="20">
        <v>20</v>
      </c>
      <c r="D18" t="s">
        <v>35</v>
      </c>
    </row>
    <row r="19" spans="1:5">
      <c r="A19" s="1">
        <v>44589</v>
      </c>
      <c r="B19" s="2" t="s">
        <v>34</v>
      </c>
      <c r="C19" s="20">
        <v>50</v>
      </c>
      <c r="D19" t="s">
        <v>47</v>
      </c>
    </row>
    <row r="20" spans="1:5">
      <c r="A20" s="1">
        <v>44590</v>
      </c>
      <c r="B20" s="2" t="s">
        <v>37</v>
      </c>
      <c r="C20" s="20">
        <v>350</v>
      </c>
      <c r="D20" t="s">
        <v>38</v>
      </c>
    </row>
    <row r="21" spans="1:5">
      <c r="A21" s="1">
        <v>44591</v>
      </c>
      <c r="B21" s="2" t="s">
        <v>39</v>
      </c>
      <c r="C21" s="20">
        <v>380</v>
      </c>
      <c r="D21" t="s">
        <v>48</v>
      </c>
    </row>
    <row r="22" spans="1:5">
      <c r="A22" s="1">
        <v>44592</v>
      </c>
      <c r="B22" s="2" t="s">
        <v>41</v>
      </c>
      <c r="C22" s="20">
        <v>20</v>
      </c>
      <c r="D22" t="s">
        <v>42</v>
      </c>
    </row>
    <row r="23" spans="1:5">
      <c r="A23" s="1">
        <v>44593</v>
      </c>
      <c r="B23" s="2" t="s">
        <v>11</v>
      </c>
      <c r="C23" s="20">
        <v>4</v>
      </c>
      <c r="D23" t="s">
        <v>43</v>
      </c>
    </row>
    <row r="24" spans="1:5">
      <c r="A24" s="1"/>
      <c r="B24" s="2"/>
    </row>
    <row r="25" spans="1:5" ht="30.6">
      <c r="A25" s="1"/>
      <c r="B25" s="2"/>
      <c r="E25" s="65">
        <f>'Income Sheet'!F1-F1</f>
        <v>-4424</v>
      </c>
    </row>
    <row r="26" spans="1:5">
      <c r="A26" s="1"/>
      <c r="B26" s="2"/>
    </row>
    <row r="27" spans="1:5">
      <c r="A27" s="1"/>
      <c r="B27" s="2"/>
    </row>
    <row r="28" spans="1:5">
      <c r="A28" s="1"/>
      <c r="B28" s="2"/>
    </row>
    <row r="29" spans="1:5">
      <c r="A29" s="1"/>
      <c r="B29" s="2"/>
    </row>
    <row r="30" spans="1:5">
      <c r="A30" s="1"/>
    </row>
    <row r="31" spans="1:5">
      <c r="A31" s="1"/>
    </row>
    <row r="32" spans="1:5">
      <c r="A32" s="1"/>
    </row>
    <row r="33" spans="1:1">
      <c r="A33" s="1"/>
    </row>
    <row r="34" spans="1:1">
      <c r="A34" s="1"/>
    </row>
    <row r="35" spans="1:1">
      <c r="A35" s="1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3</xdr:col>
                    <xdr:colOff>3124200</xdr:colOff>
                    <xdr:row>10</xdr:row>
                    <xdr:rowOff>19050</xdr:rowOff>
                  </from>
                  <to>
                    <xdr:col>5</xdr:col>
                    <xdr:colOff>19050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3</xdr:col>
                    <xdr:colOff>3105150</xdr:colOff>
                    <xdr:row>4</xdr:row>
                    <xdr:rowOff>177800</xdr:rowOff>
                  </from>
                  <to>
                    <xdr:col>4</xdr:col>
                    <xdr:colOff>3352800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7638-222E-4086-A7D1-1D305840E731}">
  <sheetPr codeName="Sheet7">
    <tabColor theme="7" tint="0.79998168889431442"/>
  </sheetPr>
  <dimension ref="A1:U78"/>
  <sheetViews>
    <sheetView zoomScaleNormal="100" workbookViewId="0">
      <selection activeCell="K19" sqref="K19"/>
    </sheetView>
  </sheetViews>
  <sheetFormatPr defaultRowHeight="14.45"/>
  <cols>
    <col min="1" max="1" width="8.140625" bestFit="1" customWidth="1"/>
    <col min="2" max="2" width="11.85546875" customWidth="1"/>
    <col min="4" max="4" width="10.5703125" bestFit="1" customWidth="1"/>
    <col min="6" max="6" width="29" customWidth="1"/>
    <col min="7" max="7" width="28.140625" customWidth="1"/>
    <col min="9" max="9" width="22.42578125" bestFit="1" customWidth="1"/>
    <col min="10" max="10" width="17.140625" bestFit="1" customWidth="1"/>
    <col min="12" max="12" width="0" hidden="1" customWidth="1"/>
    <col min="15" max="15" width="12.85546875" bestFit="1" customWidth="1"/>
  </cols>
  <sheetData>
    <row r="1" spans="1:12" ht="42.95">
      <c r="A1" s="3"/>
      <c r="B1" s="3"/>
      <c r="C1" s="39"/>
      <c r="D1" s="71" t="s">
        <v>49</v>
      </c>
      <c r="E1" s="71"/>
      <c r="F1" s="71"/>
      <c r="G1" s="71"/>
      <c r="H1" s="71"/>
      <c r="I1" s="71"/>
      <c r="J1" s="71"/>
      <c r="K1" s="71"/>
      <c r="L1" s="3"/>
    </row>
    <row r="2" spans="1:12" ht="24.6">
      <c r="A2" s="31" t="s">
        <v>50</v>
      </c>
      <c r="B2" s="32">
        <v>2021</v>
      </c>
      <c r="C2" s="32"/>
      <c r="D2" s="33" t="s">
        <v>51</v>
      </c>
      <c r="E2" s="34" t="s">
        <v>52</v>
      </c>
      <c r="F2" s="30"/>
      <c r="G2" s="30"/>
      <c r="H2" s="70" t="s">
        <v>53</v>
      </c>
      <c r="I2" s="70"/>
      <c r="J2" s="29">
        <v>3000</v>
      </c>
      <c r="K2" s="30"/>
      <c r="L2" s="3"/>
    </row>
    <row r="9" spans="1:12" ht="21.6">
      <c r="I9" s="69" t="str">
        <f>E2&amp;" Expenses"</f>
        <v>December Expenses</v>
      </c>
      <c r="J9" s="69"/>
    </row>
    <row r="10" spans="1:12" ht="16.5">
      <c r="I10" s="22" t="s">
        <v>54</v>
      </c>
      <c r="J10" s="23" cm="1">
        <f t="array" aca="1" ref="J10" ca="1">SUMIFS(ExpenseAmount,ExpenseDate,"&gt;="&amp;DATE(SelYear,SelMonth,1),ExpenseDate,"&lt;="&amp;EOMONTH(DATE(SelYear,SelMonth,1),0),ExpenseCateg,I10)</f>
        <v>0</v>
      </c>
    </row>
    <row r="11" spans="1:12" ht="16.5">
      <c r="I11" s="22" t="s">
        <v>39</v>
      </c>
      <c r="J11" s="23" cm="1">
        <f t="array" aca="1" ref="J11" ca="1">SUMIFS(ExpenseAmount,ExpenseDate,"&gt;="&amp;DATE(SelYear,SelMonth,1),ExpenseDate,"&lt;="&amp;EOMONTH(DATE(SelYear,SelMonth,1),0),ExpenseCateg,I11)</f>
        <v>380</v>
      </c>
    </row>
    <row r="12" spans="1:12" ht="16.5">
      <c r="I12" s="22" t="s">
        <v>34</v>
      </c>
      <c r="J12" s="23" cm="1">
        <f t="array" aca="1" ref="J12" ca="1">SUMIFS(ExpenseAmount,ExpenseDate,"&gt;="&amp;DATE(SelYear,SelMonth,1),ExpenseDate,"&lt;="&amp;EOMONTH(DATE(SelYear,SelMonth,1),0),ExpenseCateg,I12)</f>
        <v>70</v>
      </c>
    </row>
    <row r="13" spans="1:12" ht="16.5">
      <c r="I13" s="22" t="s">
        <v>41</v>
      </c>
      <c r="J13" s="23" cm="1">
        <f t="array" aca="1" ref="J13" ca="1">SUMIFS(ExpenseAmount,ExpenseDate,"&gt;="&amp;DATE(SelYear,SelMonth,1),ExpenseDate,"&lt;="&amp;EOMONTH(DATE(SelYear,SelMonth,1),0),ExpenseCateg,I13)</f>
        <v>20</v>
      </c>
    </row>
    <row r="14" spans="1:12" ht="16.5">
      <c r="I14" s="22" t="s">
        <v>32</v>
      </c>
      <c r="J14" s="23" cm="1">
        <f t="array" aca="1" ref="J14" ca="1">SUMIFS(ExpenseAmount,ExpenseDate,"&gt;="&amp;DATE(SelYear,SelMonth,1),ExpenseDate,"&lt;="&amp;EOMONTH(DATE(SelYear,SelMonth,1),0),ExpenseCateg,I14)</f>
        <v>1200</v>
      </c>
    </row>
    <row r="15" spans="1:12" ht="16.5">
      <c r="I15" s="22" t="s">
        <v>37</v>
      </c>
      <c r="J15" s="23" cm="1">
        <f t="array" aca="1" ref="J15" ca="1">SUMIFS(ExpenseAmount,ExpenseDate,"&gt;="&amp;DATE(SelYear,SelMonth,1),ExpenseDate,"&lt;="&amp;EOMONTH(DATE(SelYear,SelMonth,1),0),ExpenseCateg,I15)</f>
        <v>350</v>
      </c>
    </row>
    <row r="16" spans="1:12" ht="16.5">
      <c r="I16" s="22" t="s">
        <v>11</v>
      </c>
      <c r="J16" s="23" cm="1">
        <f t="array" aca="1" ref="J16" ca="1">SUMIFS(ExpenseAmount,ExpenseDate,"&gt;="&amp;DATE(SelYear,SelMonth,1),ExpenseDate,"&lt;="&amp;EOMONTH(DATE(SelYear,SelMonth,1),0),ExpenseCateg,I16)</f>
        <v>80</v>
      </c>
    </row>
    <row r="17" spans="9:12" ht="16.5">
      <c r="I17" s="24" t="s">
        <v>55</v>
      </c>
      <c r="J17" s="26">
        <f ca="1">SUM(J10:J16)</f>
        <v>2100</v>
      </c>
    </row>
    <row r="18" spans="9:12" ht="16.5">
      <c r="I18" s="24" t="str">
        <f>E2&amp;" Budget"</f>
        <v>December Budget</v>
      </c>
      <c r="J18" s="28">
        <f>J2</f>
        <v>3000</v>
      </c>
    </row>
    <row r="19" spans="9:12" ht="16.5">
      <c r="I19" s="25" t="s">
        <v>56</v>
      </c>
      <c r="J19" s="27">
        <f ca="1">J18-J17</f>
        <v>900</v>
      </c>
    </row>
    <row r="20" spans="9:12" ht="15.6">
      <c r="I20" s="21"/>
      <c r="J20" s="21"/>
    </row>
    <row r="25" spans="9:12">
      <c r="L25" t="str">
        <f ca="1">"$"&amp;J19&amp;""&amp;" is the amount of budget remaining"</f>
        <v>$900 is the amount of budget remaining</v>
      </c>
    </row>
    <row r="62" spans="4:21">
      <c r="D62" t="s">
        <v>57</v>
      </c>
    </row>
    <row r="64" spans="4:21">
      <c r="R64" s="57" t="s">
        <v>58</v>
      </c>
      <c r="S64" s="57">
        <f>IFERROR(MATCH(E2,Months,0),"")</f>
        <v>12</v>
      </c>
      <c r="T64" s="57"/>
      <c r="U64" s="57"/>
    </row>
    <row r="65" spans="18:21">
      <c r="R65" s="58" t="s">
        <v>59</v>
      </c>
      <c r="S65" s="58"/>
      <c r="T65" s="57" t="s">
        <v>60</v>
      </c>
      <c r="U65" s="57"/>
    </row>
    <row r="66" spans="18:21">
      <c r="R66" s="57" t="s">
        <v>54</v>
      </c>
      <c r="S66" s="57" t="e" cm="1">
        <f t="array" aca="1" ref="S66" ca="1">IF(SUMIFS(ExpenseAmount,ExpenseDate,"&gt;="&amp;DATE(SelYear,SelMonth,1),ExpenseDate,"&lt;="&amp;EOMONTH(DATE(SelYear,SelMonth,1),0),ExpenseCateg,I10)=0,NA(),SUMIFS(ExpenseAmount,ExpenseDate,"&gt;="&amp;DATE(SelYear,SelMonth,1),ExpenseDate,"&lt;="&amp;EOMONTH(DATE(SelYear,SelMonth,1),0),ExpenseCateg,I10))</f>
        <v>#N/A</v>
      </c>
      <c r="T66" s="57" t="s">
        <v>61</v>
      </c>
      <c r="U66" s="57"/>
    </row>
    <row r="67" spans="18:21">
      <c r="R67" s="57" t="s">
        <v>39</v>
      </c>
      <c r="S67" s="57" cm="1">
        <f t="array" aca="1" ref="S67" ca="1">IF(SUMIFS(ExpenseAmount,ExpenseDate,"&gt;="&amp;DATE(SelYear,SelMonth,1),ExpenseDate,"&lt;="&amp;EOMONTH(DATE(SelYear,SelMonth,1),0),ExpenseCateg,I11)=0,NA(),SUMIFS(ExpenseAmount,ExpenseDate,"&gt;="&amp;DATE(SelYear,SelMonth,1),ExpenseDate,"&lt;="&amp;EOMONTH(DATE(SelYear,SelMonth,1),0),ExpenseCateg,I11))</f>
        <v>380</v>
      </c>
      <c r="T67" s="57" t="s">
        <v>62</v>
      </c>
      <c r="U67" s="57"/>
    </row>
    <row r="68" spans="18:21">
      <c r="R68" s="57" t="s">
        <v>34</v>
      </c>
      <c r="S68" s="57" cm="1">
        <f t="array" aca="1" ref="S68" ca="1">IF(SUMIFS(ExpenseAmount,ExpenseDate,"&gt;="&amp;DATE(SelYear,SelMonth,1),ExpenseDate,"&lt;="&amp;EOMONTH(DATE(SelYear,SelMonth,1),0),ExpenseCateg,I12)=0,NA(),SUMIFS(ExpenseAmount,ExpenseDate,"&gt;="&amp;DATE(SelYear,SelMonth,1),ExpenseDate,"&lt;="&amp;EOMONTH(DATE(SelYear,SelMonth,1),0),ExpenseCateg,I12))</f>
        <v>70</v>
      </c>
      <c r="T68" s="57" t="s">
        <v>63</v>
      </c>
      <c r="U68" s="57"/>
    </row>
    <row r="69" spans="18:21">
      <c r="R69" s="57" t="s">
        <v>41</v>
      </c>
      <c r="S69" s="57" cm="1">
        <f t="array" aca="1" ref="S69" ca="1">IF(SUMIFS(ExpenseAmount,ExpenseDate,"&gt;="&amp;DATE(SelYear,SelMonth,1),ExpenseDate,"&lt;="&amp;EOMONTH(DATE(SelYear,SelMonth,1),0),ExpenseCateg,I13)=0,NA(),SUMIFS(ExpenseAmount,ExpenseDate,"&gt;="&amp;DATE(SelYear,SelMonth,1),ExpenseDate,"&lt;="&amp;EOMONTH(DATE(SelYear,SelMonth,1),0),ExpenseCateg,I13))</f>
        <v>20</v>
      </c>
      <c r="T69" s="57" t="s">
        <v>64</v>
      </c>
      <c r="U69" s="57"/>
    </row>
    <row r="70" spans="18:21">
      <c r="R70" s="57" t="s">
        <v>32</v>
      </c>
      <c r="S70" s="57" cm="1">
        <f t="array" aca="1" ref="S70" ca="1">IF(SUMIFS(ExpenseAmount,ExpenseDate,"&gt;="&amp;DATE(SelYear,SelMonth,1),ExpenseDate,"&lt;="&amp;EOMONTH(DATE(SelYear,SelMonth,1),0),ExpenseCateg,I14)=0,NA(),SUMIFS(ExpenseAmount,ExpenseDate,"&gt;="&amp;DATE(SelYear,SelMonth,1),ExpenseDate,"&lt;="&amp;EOMONTH(DATE(SelYear,SelMonth,1),0),ExpenseCateg,I14))</f>
        <v>1200</v>
      </c>
      <c r="T70" s="57" t="s">
        <v>65</v>
      </c>
      <c r="U70" s="57"/>
    </row>
    <row r="71" spans="18:21">
      <c r="R71" s="57" t="s">
        <v>37</v>
      </c>
      <c r="S71" s="57" cm="1">
        <f t="array" aca="1" ref="S71" ca="1">IF(SUMIFS(ExpenseAmount,ExpenseDate,"&gt;="&amp;DATE(SelYear,SelMonth,1),ExpenseDate,"&lt;="&amp;EOMONTH(DATE(SelYear,SelMonth,1),0),ExpenseCateg,I15)=0,NA(),SUMIFS(ExpenseAmount,ExpenseDate,"&gt;="&amp;DATE(SelYear,SelMonth,1),ExpenseDate,"&lt;="&amp;EOMONTH(DATE(SelYear,SelMonth,1),0),ExpenseCateg,I15))</f>
        <v>350</v>
      </c>
      <c r="T71" s="57" t="s">
        <v>66</v>
      </c>
      <c r="U71" s="57"/>
    </row>
    <row r="72" spans="18:21">
      <c r="R72" s="57" t="s">
        <v>11</v>
      </c>
      <c r="S72" s="57" cm="1">
        <f t="array" aca="1" ref="S72" ca="1">IF(SUMIFS(ExpenseAmount,ExpenseDate,"&gt;="&amp;DATE(SelYear,SelMonth,1),ExpenseDate,"&lt;="&amp;EOMONTH(DATE(SelYear,SelMonth,1),0),ExpenseCateg,I16)=0,NA(),SUMIFS(ExpenseAmount,ExpenseDate,"&gt;="&amp;DATE(SelYear,SelMonth,1),ExpenseDate,"&lt;="&amp;EOMONTH(DATE(SelYear,SelMonth,1),0),ExpenseCateg,I16))</f>
        <v>80</v>
      </c>
      <c r="T72" s="57" t="s">
        <v>67</v>
      </c>
      <c r="U72" s="57"/>
    </row>
    <row r="73" spans="18:21">
      <c r="R73" s="57"/>
      <c r="S73" s="57"/>
      <c r="T73" s="57" t="s">
        <v>68</v>
      </c>
      <c r="U73" s="57"/>
    </row>
    <row r="74" spans="18:21">
      <c r="R74" s="57"/>
      <c r="S74" s="57"/>
      <c r="T74" s="57" t="s">
        <v>69</v>
      </c>
      <c r="U74" s="57"/>
    </row>
    <row r="75" spans="18:21">
      <c r="R75" s="57"/>
      <c r="S75" s="57"/>
      <c r="T75" s="57" t="s">
        <v>70</v>
      </c>
      <c r="U75" s="57"/>
    </row>
    <row r="76" spans="18:21">
      <c r="R76" s="57"/>
      <c r="S76" s="57"/>
      <c r="T76" s="57" t="s">
        <v>71</v>
      </c>
      <c r="U76" s="57"/>
    </row>
    <row r="77" spans="18:21">
      <c r="R77" s="57"/>
      <c r="S77" s="57"/>
      <c r="T77" s="57" t="s">
        <v>52</v>
      </c>
      <c r="U77" s="57"/>
    </row>
    <row r="78" spans="18:21">
      <c r="R78" s="57"/>
      <c r="S78" s="57"/>
      <c r="T78" s="57"/>
      <c r="U78" s="57"/>
    </row>
  </sheetData>
  <mergeCells count="3">
    <mergeCell ref="I9:J9"/>
    <mergeCell ref="H2:I2"/>
    <mergeCell ref="D1:K1"/>
  </mergeCells>
  <phoneticPr fontId="11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Button3_Click">
                <anchor moveWithCells="1" sizeWithCells="1">
                  <from>
                    <xdr:col>5</xdr:col>
                    <xdr:colOff>1117600</xdr:colOff>
                    <xdr:row>3</xdr:row>
                    <xdr:rowOff>0</xdr:rowOff>
                  </from>
                  <to>
                    <xdr:col>12</xdr:col>
                    <xdr:colOff>6350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ReadMe_ExpenseSheet">
                <anchor moveWithCells="1" sizeWithCells="1">
                  <from>
                    <xdr:col>0</xdr:col>
                    <xdr:colOff>101600</xdr:colOff>
                    <xdr:row>0</xdr:row>
                    <xdr:rowOff>57150</xdr:rowOff>
                  </from>
                  <to>
                    <xdr:col>2</xdr:col>
                    <xdr:colOff>527050</xdr:colOff>
                    <xdr:row>0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AE35B-9FCE-4CB5-A9AC-DBC04E99B972}">
  <sheetPr codeName="Sheet4">
    <tabColor theme="7" tint="0.39997558519241921"/>
  </sheetPr>
  <dimension ref="A1:AG736"/>
  <sheetViews>
    <sheetView zoomScaleNormal="100" workbookViewId="0">
      <selection activeCell="D18" sqref="D18"/>
    </sheetView>
  </sheetViews>
  <sheetFormatPr defaultRowHeight="14.45"/>
  <cols>
    <col min="1" max="1" width="28.28515625" style="6" customWidth="1"/>
    <col min="2" max="2" width="28.28515625" style="11" bestFit="1" customWidth="1"/>
    <col min="3" max="3" width="26.5703125" style="6" bestFit="1" customWidth="1"/>
    <col min="4" max="4" width="27.85546875" style="6" customWidth="1"/>
    <col min="5" max="5" width="26.42578125" bestFit="1" customWidth="1"/>
    <col min="6" max="6" width="22.5703125" style="11" customWidth="1"/>
    <col min="7" max="7" width="17.5703125" bestFit="1" customWidth="1"/>
    <col min="8" max="8" width="10" bestFit="1" customWidth="1"/>
    <col min="9" max="13" width="8.7109375" style="6"/>
  </cols>
  <sheetData>
    <row r="1" spans="1:33">
      <c r="A1" s="5"/>
      <c r="B1" s="14"/>
      <c r="C1" s="4"/>
      <c r="D1" s="4"/>
      <c r="E1" s="9"/>
      <c r="F1" s="14"/>
      <c r="G1" s="9"/>
      <c r="H1" s="9"/>
      <c r="I1" s="13"/>
      <c r="J1" s="4"/>
      <c r="K1" s="4"/>
      <c r="L1" s="4"/>
      <c r="M1" s="4"/>
      <c r="N1" s="9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</row>
    <row r="2" spans="1:33" ht="46.5">
      <c r="A2" s="7">
        <v>42</v>
      </c>
      <c r="B2" s="51" t="s">
        <v>72</v>
      </c>
      <c r="C2" s="52"/>
      <c r="D2" s="52"/>
      <c r="E2" s="53"/>
      <c r="F2" s="14"/>
      <c r="G2" s="9"/>
      <c r="H2" s="9"/>
      <c r="I2" s="13"/>
      <c r="J2" s="4"/>
      <c r="K2" s="4"/>
      <c r="L2" s="4"/>
      <c r="M2" s="5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</row>
    <row r="3" spans="1:33">
      <c r="A3" s="7">
        <v>43424</v>
      </c>
      <c r="B3" s="19">
        <v>324</v>
      </c>
      <c r="C3" s="7">
        <v>234</v>
      </c>
      <c r="D3" s="7">
        <v>442</v>
      </c>
      <c r="E3" s="9"/>
      <c r="F3" s="14"/>
      <c r="G3" s="9"/>
      <c r="H3" s="9"/>
      <c r="I3" s="13"/>
      <c r="J3" s="4"/>
      <c r="K3" s="4"/>
      <c r="L3" s="4"/>
      <c r="M3" s="4"/>
      <c r="N3" s="9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</row>
    <row r="4" spans="1:33" ht="15.6">
      <c r="A4" s="17" t="s">
        <v>73</v>
      </c>
      <c r="B4" s="61" t="s">
        <v>74</v>
      </c>
      <c r="C4" s="62" t="s">
        <v>75</v>
      </c>
      <c r="D4" s="16" t="s">
        <v>76</v>
      </c>
      <c r="E4" s="56" t="s">
        <v>77</v>
      </c>
      <c r="F4" s="16" t="s">
        <v>78</v>
      </c>
      <c r="G4" s="56" t="s">
        <v>79</v>
      </c>
      <c r="H4" s="56" t="s">
        <v>80</v>
      </c>
      <c r="I4" s="13"/>
      <c r="J4" s="4"/>
      <c r="K4" s="4"/>
      <c r="L4" s="4"/>
      <c r="M4" s="4"/>
      <c r="N4" s="9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</row>
    <row r="5" spans="1:33">
      <c r="A5" s="6" t="s">
        <v>81</v>
      </c>
      <c r="B5" s="11">
        <v>45</v>
      </c>
      <c r="C5" s="6">
        <v>2</v>
      </c>
      <c r="D5" s="8">
        <v>44477</v>
      </c>
      <c r="E5" s="10">
        <f>IF(ISERROR(-PMT(,C5,B5)),"",-PMT(,C5,B5))</f>
        <v>22.5</v>
      </c>
      <c r="F5" s="11">
        <v>38</v>
      </c>
      <c r="G5" s="15">
        <f>IF(ISERROR((F5/B5)),"",(F5/B5))</f>
        <v>0.84444444444444444</v>
      </c>
      <c r="H5" s="15">
        <f>IF(ISERROR((100%-G5)),"",(100%-G5))</f>
        <v>0.15555555555555556</v>
      </c>
      <c r="J5" s="5"/>
      <c r="K5" s="5"/>
      <c r="L5" s="5"/>
      <c r="M5" s="5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</row>
    <row r="6" spans="1:33">
      <c r="A6" s="6" t="s">
        <v>82</v>
      </c>
      <c r="B6" s="11">
        <v>1100</v>
      </c>
      <c r="C6" s="6">
        <v>8</v>
      </c>
      <c r="D6" s="8">
        <v>44459</v>
      </c>
      <c r="E6" s="10">
        <f>IF(ISERROR(-PMT(,C6,B6)),"",-PMT(,C6,B6))</f>
        <v>137.5</v>
      </c>
      <c r="F6" s="11">
        <v>30</v>
      </c>
      <c r="G6" s="15">
        <f>IF(ISERROR((F6/B6)),"",(F6/B6))</f>
        <v>2.7272727272727271E-2</v>
      </c>
      <c r="H6" s="15">
        <f t="shared" ref="H6:H69" si="0">IF(ISERROR((100%-G6)),"",(100%-G6))</f>
        <v>0.97272727272727277</v>
      </c>
      <c r="J6" s="5"/>
      <c r="K6" s="5"/>
      <c r="L6" s="5"/>
      <c r="M6" s="5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</row>
    <row r="7" spans="1:33">
      <c r="A7" s="6" t="s">
        <v>83</v>
      </c>
      <c r="B7" s="11">
        <v>50</v>
      </c>
      <c r="C7" s="6">
        <v>12</v>
      </c>
      <c r="D7" s="8">
        <v>44550</v>
      </c>
      <c r="E7" s="10">
        <f t="shared" ref="E7:E69" si="1">IF(ISERROR(-PMT(,C7,B7)),"",-PMT(,C7,B7))</f>
        <v>4.166666666666667</v>
      </c>
      <c r="F7" s="11">
        <v>40</v>
      </c>
      <c r="G7" s="15">
        <f>IF(ISERROR((F7/B7)),"",(F7/B7))</f>
        <v>0.8</v>
      </c>
      <c r="H7" s="15">
        <f t="shared" si="0"/>
        <v>0.19999999999999996</v>
      </c>
      <c r="J7" s="5"/>
      <c r="K7" s="5"/>
      <c r="L7" s="5"/>
      <c r="M7" s="5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</row>
    <row r="8" spans="1:33">
      <c r="A8" s="6" t="s">
        <v>84</v>
      </c>
      <c r="B8" s="11">
        <v>400</v>
      </c>
      <c r="C8" s="6">
        <v>13</v>
      </c>
      <c r="D8" s="8">
        <v>43832</v>
      </c>
      <c r="E8" s="10">
        <f t="shared" si="1"/>
        <v>30.76923076923077</v>
      </c>
      <c r="F8" s="11">
        <v>48</v>
      </c>
      <c r="G8" s="15">
        <f t="shared" ref="G8:G69" si="2">IF(ISERROR((F8/B8)),"",(F8/B8))</f>
        <v>0.12</v>
      </c>
      <c r="H8" s="15">
        <f t="shared" si="0"/>
        <v>0.88</v>
      </c>
      <c r="J8" s="5"/>
      <c r="K8" s="5"/>
      <c r="L8" s="5"/>
      <c r="M8" s="5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</row>
    <row r="9" spans="1:33" ht="15.6">
      <c r="A9" s="6" t="s">
        <v>85</v>
      </c>
      <c r="B9" s="11">
        <v>400</v>
      </c>
      <c r="C9" s="12">
        <v>14</v>
      </c>
      <c r="D9" s="8">
        <v>44218</v>
      </c>
      <c r="E9" s="10">
        <f t="shared" si="1"/>
        <v>28.571428571428573</v>
      </c>
      <c r="F9" s="11">
        <v>12</v>
      </c>
      <c r="G9" s="15">
        <f t="shared" si="2"/>
        <v>0.03</v>
      </c>
      <c r="H9" s="15">
        <f t="shared" si="0"/>
        <v>0.97</v>
      </c>
      <c r="J9" s="5"/>
      <c r="K9" s="5"/>
      <c r="L9" s="5"/>
      <c r="M9" s="5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</row>
    <row r="10" spans="1:33">
      <c r="D10" s="8"/>
      <c r="E10" s="10" t="str">
        <f t="shared" si="1"/>
        <v/>
      </c>
      <c r="F10" s="11">
        <v>50</v>
      </c>
      <c r="G10" s="15" t="str">
        <f t="shared" si="2"/>
        <v/>
      </c>
      <c r="H10" s="15" t="str">
        <f t="shared" si="0"/>
        <v/>
      </c>
      <c r="J10" s="5"/>
      <c r="K10" s="5"/>
      <c r="L10" s="5"/>
      <c r="M10" s="5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</row>
    <row r="11" spans="1:33">
      <c r="E11" s="10" t="str">
        <f t="shared" si="1"/>
        <v/>
      </c>
      <c r="G11" s="15" t="str">
        <f t="shared" si="2"/>
        <v/>
      </c>
      <c r="H11" s="15" t="str">
        <f t="shared" si="0"/>
        <v/>
      </c>
      <c r="J11" s="5"/>
      <c r="K11" s="5"/>
      <c r="L11" s="5"/>
      <c r="M11" s="5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</row>
    <row r="12" spans="1:33">
      <c r="E12" s="10" t="str">
        <f>IF(ISERROR(-PMT(,C12,B12)),"",-PMT(,C12,B12))</f>
        <v/>
      </c>
      <c r="G12" s="15" t="str">
        <f t="shared" si="2"/>
        <v/>
      </c>
      <c r="H12" s="15" t="str">
        <f t="shared" si="0"/>
        <v/>
      </c>
      <c r="J12" s="5"/>
      <c r="K12" s="5"/>
      <c r="L12" s="5"/>
      <c r="M12" s="5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</row>
    <row r="13" spans="1:33">
      <c r="E13" s="10" t="str">
        <f t="shared" si="1"/>
        <v/>
      </c>
      <c r="G13" s="15" t="str">
        <f t="shared" si="2"/>
        <v/>
      </c>
      <c r="H13" s="15" t="str">
        <f t="shared" si="0"/>
        <v/>
      </c>
      <c r="J13" s="5"/>
      <c r="K13" s="5"/>
      <c r="L13" s="5"/>
      <c r="M13" s="5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</row>
    <row r="14" spans="1:33">
      <c r="E14" s="10" t="str">
        <f t="shared" si="1"/>
        <v/>
      </c>
      <c r="G14" s="15" t="str">
        <f t="shared" si="2"/>
        <v/>
      </c>
      <c r="H14" s="15" t="str">
        <f t="shared" si="0"/>
        <v/>
      </c>
      <c r="J14" s="5"/>
      <c r="K14" s="5"/>
      <c r="L14" s="5"/>
      <c r="M14" s="5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</row>
    <row r="15" spans="1:33">
      <c r="E15" s="10" t="str">
        <f t="shared" si="1"/>
        <v/>
      </c>
      <c r="G15" s="15" t="str">
        <f t="shared" si="2"/>
        <v/>
      </c>
      <c r="H15" s="15" t="str">
        <f t="shared" si="0"/>
        <v/>
      </c>
      <c r="J15" s="5"/>
      <c r="K15" s="5"/>
      <c r="L15" s="5"/>
      <c r="M15" s="5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</row>
    <row r="16" spans="1:33">
      <c r="E16" s="10" t="str">
        <f t="shared" si="1"/>
        <v/>
      </c>
      <c r="G16" s="15" t="str">
        <f t="shared" si="2"/>
        <v/>
      </c>
      <c r="H16" s="15" t="str">
        <f t="shared" si="0"/>
        <v/>
      </c>
      <c r="J16" s="5"/>
      <c r="K16" s="5"/>
      <c r="L16" s="5"/>
      <c r="M16" s="5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</row>
    <row r="17" spans="5:33">
      <c r="E17" s="10" t="str">
        <f t="shared" si="1"/>
        <v/>
      </c>
      <c r="G17" s="15" t="str">
        <f t="shared" si="2"/>
        <v/>
      </c>
      <c r="H17" s="15" t="str">
        <f t="shared" si="0"/>
        <v/>
      </c>
      <c r="J17" s="5"/>
      <c r="K17" s="5"/>
      <c r="L17" s="5"/>
      <c r="M17" s="5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</row>
    <row r="18" spans="5:33">
      <c r="E18" s="10" t="str">
        <f t="shared" si="1"/>
        <v/>
      </c>
      <c r="G18" s="15" t="str">
        <f t="shared" si="2"/>
        <v/>
      </c>
      <c r="H18" s="15" t="str">
        <f t="shared" si="0"/>
        <v/>
      </c>
      <c r="J18" s="5"/>
      <c r="K18" s="5"/>
      <c r="L18" s="5"/>
      <c r="M18" s="5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</row>
    <row r="19" spans="5:33">
      <c r="E19" s="10" t="str">
        <f t="shared" si="1"/>
        <v/>
      </c>
      <c r="G19" s="15" t="str">
        <f t="shared" si="2"/>
        <v/>
      </c>
      <c r="H19" s="15" t="str">
        <f t="shared" si="0"/>
        <v/>
      </c>
      <c r="J19" s="5"/>
      <c r="K19" s="5"/>
      <c r="L19" s="5"/>
      <c r="M19" s="5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</row>
    <row r="20" spans="5:33">
      <c r="E20" s="10" t="str">
        <f t="shared" si="1"/>
        <v/>
      </c>
      <c r="G20" s="15" t="str">
        <f t="shared" si="2"/>
        <v/>
      </c>
      <c r="H20" s="15" t="str">
        <f t="shared" si="0"/>
        <v/>
      </c>
      <c r="J20" s="5"/>
      <c r="K20" s="5"/>
      <c r="L20" s="5"/>
      <c r="M20" s="5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</row>
    <row r="21" spans="5:33">
      <c r="E21" s="10" t="str">
        <f t="shared" si="1"/>
        <v/>
      </c>
      <c r="G21" s="15" t="str">
        <f t="shared" si="2"/>
        <v/>
      </c>
      <c r="H21" s="15" t="str">
        <f t="shared" si="0"/>
        <v/>
      </c>
      <c r="J21" s="5"/>
      <c r="K21" s="5"/>
      <c r="L21" s="5"/>
      <c r="M21" s="5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</row>
    <row r="22" spans="5:33">
      <c r="E22" s="10" t="str">
        <f t="shared" si="1"/>
        <v/>
      </c>
      <c r="G22" s="15" t="str">
        <f t="shared" si="2"/>
        <v/>
      </c>
      <c r="H22" s="15" t="str">
        <f t="shared" si="0"/>
        <v/>
      </c>
      <c r="J22" s="5"/>
      <c r="K22" s="5"/>
      <c r="L22" s="5"/>
      <c r="M22" s="5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</row>
    <row r="23" spans="5:33">
      <c r="E23" s="10" t="str">
        <f t="shared" si="1"/>
        <v/>
      </c>
      <c r="G23" s="15" t="str">
        <f t="shared" si="2"/>
        <v/>
      </c>
      <c r="H23" s="15" t="str">
        <f t="shared" si="0"/>
        <v/>
      </c>
      <c r="J23" s="5"/>
      <c r="K23" s="5"/>
      <c r="L23" s="5"/>
      <c r="M23" s="5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</row>
    <row r="24" spans="5:33">
      <c r="E24" s="10" t="str">
        <f t="shared" si="1"/>
        <v/>
      </c>
      <c r="G24" s="15" t="str">
        <f t="shared" si="2"/>
        <v/>
      </c>
      <c r="H24" s="15" t="str">
        <f t="shared" si="0"/>
        <v/>
      </c>
      <c r="J24" s="5"/>
      <c r="K24" s="5"/>
      <c r="L24" s="5"/>
      <c r="M24" s="5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</row>
    <row r="25" spans="5:33">
      <c r="E25" s="10" t="str">
        <f t="shared" si="1"/>
        <v/>
      </c>
      <c r="G25" s="15" t="str">
        <f t="shared" si="2"/>
        <v/>
      </c>
      <c r="H25" s="15" t="str">
        <f t="shared" si="0"/>
        <v/>
      </c>
      <c r="J25" s="5"/>
      <c r="K25" s="5"/>
      <c r="L25" s="5"/>
      <c r="M25" s="5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</row>
    <row r="26" spans="5:33">
      <c r="E26" s="10" t="str">
        <f t="shared" si="1"/>
        <v/>
      </c>
      <c r="G26" s="15" t="str">
        <f t="shared" si="2"/>
        <v/>
      </c>
      <c r="H26" s="15" t="str">
        <f t="shared" si="0"/>
        <v/>
      </c>
      <c r="J26" s="5"/>
      <c r="K26" s="5"/>
      <c r="L26" s="5"/>
      <c r="M26" s="5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</row>
    <row r="27" spans="5:33">
      <c r="E27" s="10" t="str">
        <f t="shared" si="1"/>
        <v/>
      </c>
      <c r="G27" s="15" t="str">
        <f t="shared" si="2"/>
        <v/>
      </c>
      <c r="H27" s="15" t="str">
        <f t="shared" si="0"/>
        <v/>
      </c>
      <c r="J27" s="5"/>
      <c r="K27" s="5"/>
      <c r="L27" s="5"/>
      <c r="M27" s="5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</row>
    <row r="28" spans="5:33">
      <c r="E28" s="10" t="str">
        <f t="shared" si="1"/>
        <v/>
      </c>
      <c r="G28" s="15" t="str">
        <f t="shared" si="2"/>
        <v/>
      </c>
      <c r="H28" s="15" t="str">
        <f t="shared" si="0"/>
        <v/>
      </c>
      <c r="J28" s="5"/>
      <c r="K28" s="5"/>
      <c r="L28" s="5"/>
      <c r="M28" s="5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</row>
    <row r="29" spans="5:33">
      <c r="E29" s="10" t="str">
        <f t="shared" si="1"/>
        <v/>
      </c>
      <c r="G29" s="15" t="str">
        <f t="shared" si="2"/>
        <v/>
      </c>
      <c r="H29" s="15" t="str">
        <f t="shared" si="0"/>
        <v/>
      </c>
      <c r="J29" s="5"/>
      <c r="K29" s="5"/>
      <c r="L29" s="5"/>
      <c r="M29" s="5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</row>
    <row r="30" spans="5:33">
      <c r="E30" s="10" t="str">
        <f t="shared" si="1"/>
        <v/>
      </c>
      <c r="G30" s="15" t="str">
        <f t="shared" si="2"/>
        <v/>
      </c>
      <c r="H30" s="15" t="str">
        <f t="shared" si="0"/>
        <v/>
      </c>
      <c r="J30" s="5"/>
      <c r="K30" s="5"/>
      <c r="L30" s="5"/>
      <c r="M30" s="5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</row>
    <row r="31" spans="5:33">
      <c r="E31" s="10" t="str">
        <f t="shared" si="1"/>
        <v/>
      </c>
      <c r="G31" s="15" t="str">
        <f t="shared" si="2"/>
        <v/>
      </c>
      <c r="H31" s="15" t="str">
        <f t="shared" si="0"/>
        <v/>
      </c>
      <c r="J31" s="5"/>
      <c r="K31" s="5"/>
      <c r="L31" s="5"/>
      <c r="M31" s="5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</row>
    <row r="32" spans="5:33">
      <c r="E32" s="10" t="str">
        <f t="shared" si="1"/>
        <v/>
      </c>
      <c r="G32" s="15" t="str">
        <f t="shared" si="2"/>
        <v/>
      </c>
      <c r="H32" s="15" t="str">
        <f t="shared" si="0"/>
        <v/>
      </c>
      <c r="J32" s="5"/>
      <c r="K32" s="5"/>
      <c r="L32" s="5"/>
      <c r="M32" s="5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</row>
    <row r="33" spans="5:33">
      <c r="E33" s="10" t="str">
        <f t="shared" si="1"/>
        <v/>
      </c>
      <c r="G33" s="15" t="str">
        <f t="shared" si="2"/>
        <v/>
      </c>
      <c r="H33" s="15" t="str">
        <f t="shared" si="0"/>
        <v/>
      </c>
      <c r="J33" s="5"/>
      <c r="K33" s="5"/>
      <c r="L33" s="5"/>
      <c r="M33" s="5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</row>
    <row r="34" spans="5:33">
      <c r="E34" s="10" t="str">
        <f t="shared" si="1"/>
        <v/>
      </c>
      <c r="G34" s="15" t="str">
        <f t="shared" si="2"/>
        <v/>
      </c>
      <c r="H34" s="15" t="str">
        <f t="shared" si="0"/>
        <v/>
      </c>
    </row>
    <row r="35" spans="5:33">
      <c r="E35" s="10" t="str">
        <f t="shared" si="1"/>
        <v/>
      </c>
      <c r="G35" s="15" t="str">
        <f t="shared" si="2"/>
        <v/>
      </c>
      <c r="H35" s="15" t="str">
        <f t="shared" si="0"/>
        <v/>
      </c>
    </row>
    <row r="36" spans="5:33">
      <c r="E36" s="10" t="str">
        <f t="shared" si="1"/>
        <v/>
      </c>
      <c r="G36" s="15" t="str">
        <f t="shared" si="2"/>
        <v/>
      </c>
      <c r="H36" s="15" t="str">
        <f t="shared" si="0"/>
        <v/>
      </c>
    </row>
    <row r="37" spans="5:33">
      <c r="E37" s="10" t="str">
        <f t="shared" si="1"/>
        <v/>
      </c>
      <c r="G37" s="15" t="str">
        <f t="shared" si="2"/>
        <v/>
      </c>
      <c r="H37" s="15" t="str">
        <f t="shared" si="0"/>
        <v/>
      </c>
    </row>
    <row r="38" spans="5:33">
      <c r="E38" s="10" t="str">
        <f t="shared" si="1"/>
        <v/>
      </c>
      <c r="G38" s="15" t="str">
        <f t="shared" si="2"/>
        <v/>
      </c>
      <c r="H38" s="15" t="str">
        <f t="shared" si="0"/>
        <v/>
      </c>
    </row>
    <row r="39" spans="5:33">
      <c r="E39" s="10" t="str">
        <f t="shared" si="1"/>
        <v/>
      </c>
      <c r="G39" s="15" t="str">
        <f t="shared" si="2"/>
        <v/>
      </c>
      <c r="H39" s="15" t="str">
        <f t="shared" si="0"/>
        <v/>
      </c>
    </row>
    <row r="40" spans="5:33">
      <c r="E40" s="10" t="str">
        <f t="shared" si="1"/>
        <v/>
      </c>
      <c r="G40" s="15" t="str">
        <f t="shared" si="2"/>
        <v/>
      </c>
      <c r="H40" s="15" t="str">
        <f t="shared" si="0"/>
        <v/>
      </c>
    </row>
    <row r="41" spans="5:33">
      <c r="E41" s="10" t="str">
        <f t="shared" si="1"/>
        <v/>
      </c>
      <c r="G41" s="15" t="str">
        <f t="shared" si="2"/>
        <v/>
      </c>
      <c r="H41" s="15" t="str">
        <f t="shared" si="0"/>
        <v/>
      </c>
    </row>
    <row r="42" spans="5:33">
      <c r="E42" s="10" t="str">
        <f t="shared" si="1"/>
        <v/>
      </c>
      <c r="G42" s="15" t="str">
        <f t="shared" si="2"/>
        <v/>
      </c>
      <c r="H42" s="15" t="str">
        <f t="shared" si="0"/>
        <v/>
      </c>
    </row>
    <row r="43" spans="5:33">
      <c r="E43" s="10" t="str">
        <f t="shared" si="1"/>
        <v/>
      </c>
      <c r="G43" s="15" t="str">
        <f t="shared" si="2"/>
        <v/>
      </c>
      <c r="H43" s="15" t="str">
        <f t="shared" si="0"/>
        <v/>
      </c>
    </row>
    <row r="44" spans="5:33">
      <c r="E44" s="10" t="str">
        <f t="shared" si="1"/>
        <v/>
      </c>
      <c r="G44" s="15" t="str">
        <f t="shared" si="2"/>
        <v/>
      </c>
      <c r="H44" s="15" t="str">
        <f t="shared" si="0"/>
        <v/>
      </c>
    </row>
    <row r="45" spans="5:33">
      <c r="E45" s="10" t="str">
        <f t="shared" si="1"/>
        <v/>
      </c>
      <c r="G45" s="15" t="str">
        <f t="shared" si="2"/>
        <v/>
      </c>
      <c r="H45" s="15" t="str">
        <f t="shared" si="0"/>
        <v/>
      </c>
    </row>
    <row r="46" spans="5:33">
      <c r="E46" s="10" t="str">
        <f t="shared" si="1"/>
        <v/>
      </c>
      <c r="G46" s="15" t="str">
        <f t="shared" si="2"/>
        <v/>
      </c>
      <c r="H46" s="15" t="str">
        <f t="shared" si="0"/>
        <v/>
      </c>
    </row>
    <row r="47" spans="5:33">
      <c r="E47" s="10" t="str">
        <f t="shared" si="1"/>
        <v/>
      </c>
      <c r="G47" s="15" t="str">
        <f t="shared" si="2"/>
        <v/>
      </c>
      <c r="H47" s="15" t="str">
        <f t="shared" si="0"/>
        <v/>
      </c>
    </row>
    <row r="48" spans="5:33">
      <c r="E48" s="10" t="str">
        <f t="shared" si="1"/>
        <v/>
      </c>
      <c r="G48" s="15" t="str">
        <f t="shared" si="2"/>
        <v/>
      </c>
      <c r="H48" s="15" t="str">
        <f t="shared" si="0"/>
        <v/>
      </c>
    </row>
    <row r="49" spans="5:8">
      <c r="E49" s="10" t="str">
        <f t="shared" si="1"/>
        <v/>
      </c>
      <c r="G49" s="15" t="str">
        <f t="shared" si="2"/>
        <v/>
      </c>
      <c r="H49" s="15" t="str">
        <f t="shared" si="0"/>
        <v/>
      </c>
    </row>
    <row r="50" spans="5:8">
      <c r="E50" s="10" t="str">
        <f t="shared" si="1"/>
        <v/>
      </c>
      <c r="G50" s="15" t="str">
        <f t="shared" si="2"/>
        <v/>
      </c>
      <c r="H50" s="15" t="str">
        <f t="shared" si="0"/>
        <v/>
      </c>
    </row>
    <row r="51" spans="5:8">
      <c r="E51" s="10" t="str">
        <f t="shared" si="1"/>
        <v/>
      </c>
      <c r="G51" s="15" t="str">
        <f t="shared" si="2"/>
        <v/>
      </c>
      <c r="H51" s="15" t="str">
        <f t="shared" si="0"/>
        <v/>
      </c>
    </row>
    <row r="52" spans="5:8">
      <c r="E52" s="10" t="str">
        <f t="shared" si="1"/>
        <v/>
      </c>
      <c r="G52" s="15" t="str">
        <f t="shared" si="2"/>
        <v/>
      </c>
      <c r="H52" s="15" t="str">
        <f t="shared" si="0"/>
        <v/>
      </c>
    </row>
    <row r="53" spans="5:8">
      <c r="E53" s="10" t="str">
        <f t="shared" si="1"/>
        <v/>
      </c>
      <c r="G53" s="15" t="str">
        <f t="shared" si="2"/>
        <v/>
      </c>
      <c r="H53" s="15" t="str">
        <f t="shared" si="0"/>
        <v/>
      </c>
    </row>
    <row r="54" spans="5:8">
      <c r="E54" s="10" t="str">
        <f t="shared" si="1"/>
        <v/>
      </c>
      <c r="G54" s="15" t="str">
        <f t="shared" si="2"/>
        <v/>
      </c>
      <c r="H54" s="15" t="str">
        <f t="shared" si="0"/>
        <v/>
      </c>
    </row>
    <row r="55" spans="5:8">
      <c r="E55" s="10" t="str">
        <f t="shared" si="1"/>
        <v/>
      </c>
      <c r="G55" s="15" t="str">
        <f t="shared" si="2"/>
        <v/>
      </c>
      <c r="H55" s="15" t="str">
        <f t="shared" si="0"/>
        <v/>
      </c>
    </row>
    <row r="56" spans="5:8">
      <c r="E56" s="10" t="str">
        <f t="shared" si="1"/>
        <v/>
      </c>
      <c r="G56" s="15" t="str">
        <f t="shared" si="2"/>
        <v/>
      </c>
      <c r="H56" s="15" t="str">
        <f t="shared" si="0"/>
        <v/>
      </c>
    </row>
    <row r="57" spans="5:8">
      <c r="E57" s="10" t="str">
        <f t="shared" si="1"/>
        <v/>
      </c>
      <c r="G57" s="15" t="str">
        <f t="shared" si="2"/>
        <v/>
      </c>
      <c r="H57" s="15" t="str">
        <f t="shared" si="0"/>
        <v/>
      </c>
    </row>
    <row r="58" spans="5:8">
      <c r="E58" s="10" t="str">
        <f t="shared" si="1"/>
        <v/>
      </c>
      <c r="G58" s="15" t="str">
        <f t="shared" si="2"/>
        <v/>
      </c>
      <c r="H58" s="15" t="str">
        <f t="shared" si="0"/>
        <v/>
      </c>
    </row>
    <row r="59" spans="5:8">
      <c r="E59" s="10" t="str">
        <f t="shared" si="1"/>
        <v/>
      </c>
      <c r="G59" s="15" t="str">
        <f t="shared" si="2"/>
        <v/>
      </c>
      <c r="H59" s="15" t="str">
        <f t="shared" si="0"/>
        <v/>
      </c>
    </row>
    <row r="60" spans="5:8">
      <c r="E60" s="10" t="str">
        <f t="shared" si="1"/>
        <v/>
      </c>
      <c r="G60" s="15" t="str">
        <f t="shared" si="2"/>
        <v/>
      </c>
      <c r="H60" s="15" t="str">
        <f t="shared" si="0"/>
        <v/>
      </c>
    </row>
    <row r="61" spans="5:8">
      <c r="E61" s="10" t="str">
        <f t="shared" si="1"/>
        <v/>
      </c>
      <c r="G61" s="15" t="str">
        <f t="shared" si="2"/>
        <v/>
      </c>
      <c r="H61" s="15" t="str">
        <f t="shared" si="0"/>
        <v/>
      </c>
    </row>
    <row r="62" spans="5:8">
      <c r="E62" s="10" t="str">
        <f t="shared" si="1"/>
        <v/>
      </c>
      <c r="G62" s="15" t="str">
        <f t="shared" si="2"/>
        <v/>
      </c>
      <c r="H62" s="15" t="str">
        <f t="shared" si="0"/>
        <v/>
      </c>
    </row>
    <row r="63" spans="5:8">
      <c r="E63" s="10" t="str">
        <f t="shared" si="1"/>
        <v/>
      </c>
      <c r="G63" s="15" t="str">
        <f t="shared" si="2"/>
        <v/>
      </c>
      <c r="H63" s="15" t="str">
        <f t="shared" si="0"/>
        <v/>
      </c>
    </row>
    <row r="64" spans="5:8">
      <c r="E64" s="10" t="str">
        <f t="shared" si="1"/>
        <v/>
      </c>
      <c r="G64" s="15" t="str">
        <f t="shared" si="2"/>
        <v/>
      </c>
      <c r="H64" s="15" t="str">
        <f t="shared" si="0"/>
        <v/>
      </c>
    </row>
    <row r="65" spans="5:8">
      <c r="E65" s="10" t="str">
        <f t="shared" si="1"/>
        <v/>
      </c>
      <c r="G65" s="15" t="str">
        <f t="shared" si="2"/>
        <v/>
      </c>
      <c r="H65" s="15" t="str">
        <f t="shared" si="0"/>
        <v/>
      </c>
    </row>
    <row r="66" spans="5:8">
      <c r="E66" s="10" t="str">
        <f t="shared" si="1"/>
        <v/>
      </c>
      <c r="G66" s="15" t="str">
        <f t="shared" si="2"/>
        <v/>
      </c>
      <c r="H66" s="15" t="str">
        <f t="shared" si="0"/>
        <v/>
      </c>
    </row>
    <row r="67" spans="5:8">
      <c r="E67" s="10" t="str">
        <f t="shared" si="1"/>
        <v/>
      </c>
      <c r="G67" s="15" t="str">
        <f t="shared" si="2"/>
        <v/>
      </c>
      <c r="H67" s="15" t="str">
        <f t="shared" si="0"/>
        <v/>
      </c>
    </row>
    <row r="68" spans="5:8">
      <c r="E68" s="10" t="str">
        <f t="shared" si="1"/>
        <v/>
      </c>
      <c r="G68" s="15" t="str">
        <f t="shared" si="2"/>
        <v/>
      </c>
      <c r="H68" s="15" t="str">
        <f t="shared" si="0"/>
        <v/>
      </c>
    </row>
    <row r="69" spans="5:8">
      <c r="E69" s="10" t="str">
        <f t="shared" si="1"/>
        <v/>
      </c>
      <c r="G69" s="15" t="str">
        <f t="shared" si="2"/>
        <v/>
      </c>
      <c r="H69" s="15" t="str">
        <f t="shared" si="0"/>
        <v/>
      </c>
    </row>
    <row r="70" spans="5:8">
      <c r="E70" s="10" t="str">
        <f t="shared" ref="E70:E133" si="3">IF(ISERROR(-PMT(,C70,B70)),"",-PMT(,C70,B70))</f>
        <v/>
      </c>
      <c r="G70" s="15" t="str">
        <f t="shared" ref="G70:G133" si="4">IF(ISERROR((F70/B70)),"",(F70/B70))</f>
        <v/>
      </c>
      <c r="H70" s="15" t="str">
        <f t="shared" ref="H70:H133" si="5">IF(ISERROR((100%-G70)),"",(100%-G70))</f>
        <v/>
      </c>
    </row>
    <row r="71" spans="5:8">
      <c r="E71" s="10" t="str">
        <f t="shared" si="3"/>
        <v/>
      </c>
      <c r="G71" s="15" t="str">
        <f t="shared" si="4"/>
        <v/>
      </c>
      <c r="H71" s="15" t="str">
        <f t="shared" si="5"/>
        <v/>
      </c>
    </row>
    <row r="72" spans="5:8">
      <c r="E72" s="10" t="str">
        <f t="shared" si="3"/>
        <v/>
      </c>
      <c r="G72" s="15" t="str">
        <f t="shared" si="4"/>
        <v/>
      </c>
      <c r="H72" s="15" t="str">
        <f t="shared" si="5"/>
        <v/>
      </c>
    </row>
    <row r="73" spans="5:8">
      <c r="E73" s="10" t="str">
        <f t="shared" si="3"/>
        <v/>
      </c>
      <c r="G73" s="15" t="str">
        <f t="shared" si="4"/>
        <v/>
      </c>
      <c r="H73" s="15" t="str">
        <f t="shared" si="5"/>
        <v/>
      </c>
    </row>
    <row r="74" spans="5:8">
      <c r="E74" s="10" t="str">
        <f t="shared" si="3"/>
        <v/>
      </c>
      <c r="G74" s="15" t="str">
        <f t="shared" si="4"/>
        <v/>
      </c>
      <c r="H74" s="15" t="str">
        <f t="shared" si="5"/>
        <v/>
      </c>
    </row>
    <row r="75" spans="5:8">
      <c r="E75" s="10" t="str">
        <f t="shared" si="3"/>
        <v/>
      </c>
      <c r="G75" s="15" t="str">
        <f t="shared" si="4"/>
        <v/>
      </c>
      <c r="H75" s="15" t="str">
        <f t="shared" si="5"/>
        <v/>
      </c>
    </row>
    <row r="76" spans="5:8">
      <c r="E76" s="10" t="str">
        <f t="shared" si="3"/>
        <v/>
      </c>
      <c r="G76" s="15" t="str">
        <f t="shared" si="4"/>
        <v/>
      </c>
      <c r="H76" s="15" t="str">
        <f t="shared" si="5"/>
        <v/>
      </c>
    </row>
    <row r="77" spans="5:8">
      <c r="E77" s="10" t="str">
        <f t="shared" si="3"/>
        <v/>
      </c>
      <c r="G77" s="15" t="str">
        <f t="shared" si="4"/>
        <v/>
      </c>
      <c r="H77" s="15" t="str">
        <f t="shared" si="5"/>
        <v/>
      </c>
    </row>
    <row r="78" spans="5:8">
      <c r="E78" s="10" t="str">
        <f t="shared" si="3"/>
        <v/>
      </c>
      <c r="G78" s="15" t="str">
        <f t="shared" si="4"/>
        <v/>
      </c>
      <c r="H78" s="15" t="str">
        <f t="shared" si="5"/>
        <v/>
      </c>
    </row>
    <row r="79" spans="5:8">
      <c r="E79" s="10" t="str">
        <f t="shared" si="3"/>
        <v/>
      </c>
      <c r="G79" s="15" t="str">
        <f t="shared" si="4"/>
        <v/>
      </c>
      <c r="H79" s="15" t="str">
        <f t="shared" si="5"/>
        <v/>
      </c>
    </row>
    <row r="80" spans="5:8">
      <c r="E80" s="10" t="str">
        <f t="shared" si="3"/>
        <v/>
      </c>
      <c r="G80" s="15" t="str">
        <f t="shared" si="4"/>
        <v/>
      </c>
      <c r="H80" s="15" t="str">
        <f t="shared" si="5"/>
        <v/>
      </c>
    </row>
    <row r="81" spans="5:8">
      <c r="E81" s="10" t="str">
        <f t="shared" si="3"/>
        <v/>
      </c>
      <c r="G81" s="15" t="str">
        <f t="shared" si="4"/>
        <v/>
      </c>
      <c r="H81" s="15" t="str">
        <f t="shared" si="5"/>
        <v/>
      </c>
    </row>
    <row r="82" spans="5:8">
      <c r="E82" s="10" t="str">
        <f t="shared" si="3"/>
        <v/>
      </c>
      <c r="G82" s="15" t="str">
        <f t="shared" si="4"/>
        <v/>
      </c>
      <c r="H82" s="15" t="str">
        <f t="shared" si="5"/>
        <v/>
      </c>
    </row>
    <row r="83" spans="5:8">
      <c r="E83" s="10" t="str">
        <f t="shared" si="3"/>
        <v/>
      </c>
      <c r="G83" s="15" t="str">
        <f t="shared" si="4"/>
        <v/>
      </c>
      <c r="H83" s="15" t="str">
        <f t="shared" si="5"/>
        <v/>
      </c>
    </row>
    <row r="84" spans="5:8">
      <c r="E84" s="10" t="str">
        <f t="shared" si="3"/>
        <v/>
      </c>
      <c r="G84" s="15" t="str">
        <f t="shared" si="4"/>
        <v/>
      </c>
      <c r="H84" s="15" t="str">
        <f t="shared" si="5"/>
        <v/>
      </c>
    </row>
    <row r="85" spans="5:8">
      <c r="E85" s="10" t="str">
        <f t="shared" si="3"/>
        <v/>
      </c>
      <c r="G85" s="15" t="str">
        <f t="shared" si="4"/>
        <v/>
      </c>
      <c r="H85" s="15" t="str">
        <f t="shared" si="5"/>
        <v/>
      </c>
    </row>
    <row r="86" spans="5:8">
      <c r="E86" s="10" t="str">
        <f t="shared" si="3"/>
        <v/>
      </c>
      <c r="G86" s="15" t="str">
        <f t="shared" si="4"/>
        <v/>
      </c>
      <c r="H86" s="15" t="str">
        <f t="shared" si="5"/>
        <v/>
      </c>
    </row>
    <row r="87" spans="5:8">
      <c r="E87" s="10" t="str">
        <f t="shared" si="3"/>
        <v/>
      </c>
      <c r="G87" s="15" t="str">
        <f t="shared" si="4"/>
        <v/>
      </c>
      <c r="H87" s="15" t="str">
        <f t="shared" si="5"/>
        <v/>
      </c>
    </row>
    <row r="88" spans="5:8">
      <c r="E88" s="10" t="str">
        <f t="shared" si="3"/>
        <v/>
      </c>
      <c r="G88" s="15" t="str">
        <f t="shared" si="4"/>
        <v/>
      </c>
      <c r="H88" s="15" t="str">
        <f t="shared" si="5"/>
        <v/>
      </c>
    </row>
    <row r="89" spans="5:8">
      <c r="E89" s="10" t="str">
        <f t="shared" si="3"/>
        <v/>
      </c>
      <c r="G89" s="15" t="str">
        <f t="shared" si="4"/>
        <v/>
      </c>
      <c r="H89" s="15" t="str">
        <f t="shared" si="5"/>
        <v/>
      </c>
    </row>
    <row r="90" spans="5:8">
      <c r="E90" s="10" t="str">
        <f t="shared" si="3"/>
        <v/>
      </c>
      <c r="G90" s="15" t="str">
        <f t="shared" si="4"/>
        <v/>
      </c>
      <c r="H90" s="15" t="str">
        <f t="shared" si="5"/>
        <v/>
      </c>
    </row>
    <row r="91" spans="5:8">
      <c r="E91" s="10" t="str">
        <f t="shared" si="3"/>
        <v/>
      </c>
      <c r="G91" s="15" t="str">
        <f t="shared" si="4"/>
        <v/>
      </c>
      <c r="H91" s="15" t="str">
        <f t="shared" si="5"/>
        <v/>
      </c>
    </row>
    <row r="92" spans="5:8">
      <c r="E92" s="10" t="str">
        <f t="shared" si="3"/>
        <v/>
      </c>
      <c r="G92" s="15" t="str">
        <f t="shared" si="4"/>
        <v/>
      </c>
      <c r="H92" s="15" t="str">
        <f t="shared" si="5"/>
        <v/>
      </c>
    </row>
    <row r="93" spans="5:8">
      <c r="E93" s="10" t="str">
        <f t="shared" si="3"/>
        <v/>
      </c>
      <c r="G93" s="15" t="str">
        <f t="shared" si="4"/>
        <v/>
      </c>
      <c r="H93" s="15" t="str">
        <f t="shared" si="5"/>
        <v/>
      </c>
    </row>
    <row r="94" spans="5:8">
      <c r="E94" s="10" t="str">
        <f t="shared" si="3"/>
        <v/>
      </c>
      <c r="G94" s="15" t="str">
        <f t="shared" si="4"/>
        <v/>
      </c>
      <c r="H94" s="15" t="str">
        <f t="shared" si="5"/>
        <v/>
      </c>
    </row>
    <row r="95" spans="5:8">
      <c r="E95" s="10" t="str">
        <f t="shared" si="3"/>
        <v/>
      </c>
      <c r="G95" s="15" t="str">
        <f t="shared" si="4"/>
        <v/>
      </c>
      <c r="H95" s="15" t="str">
        <f t="shared" si="5"/>
        <v/>
      </c>
    </row>
    <row r="96" spans="5:8">
      <c r="E96" s="10" t="str">
        <f t="shared" si="3"/>
        <v/>
      </c>
      <c r="G96" s="15" t="str">
        <f t="shared" si="4"/>
        <v/>
      </c>
      <c r="H96" s="15" t="str">
        <f t="shared" si="5"/>
        <v/>
      </c>
    </row>
    <row r="97" spans="5:8">
      <c r="E97" s="10" t="str">
        <f t="shared" si="3"/>
        <v/>
      </c>
      <c r="G97" s="15" t="str">
        <f t="shared" si="4"/>
        <v/>
      </c>
      <c r="H97" s="15" t="str">
        <f t="shared" si="5"/>
        <v/>
      </c>
    </row>
    <row r="98" spans="5:8">
      <c r="E98" s="10" t="str">
        <f t="shared" si="3"/>
        <v/>
      </c>
      <c r="G98" s="15" t="str">
        <f t="shared" si="4"/>
        <v/>
      </c>
      <c r="H98" s="15" t="str">
        <f t="shared" si="5"/>
        <v/>
      </c>
    </row>
    <row r="99" spans="5:8">
      <c r="E99" s="10" t="str">
        <f t="shared" si="3"/>
        <v/>
      </c>
      <c r="G99" s="15" t="str">
        <f t="shared" si="4"/>
        <v/>
      </c>
      <c r="H99" s="15" t="str">
        <f t="shared" si="5"/>
        <v/>
      </c>
    </row>
    <row r="100" spans="5:8">
      <c r="E100" s="10" t="str">
        <f t="shared" si="3"/>
        <v/>
      </c>
      <c r="G100" s="15" t="str">
        <f t="shared" si="4"/>
        <v/>
      </c>
      <c r="H100" s="15" t="str">
        <f t="shared" si="5"/>
        <v/>
      </c>
    </row>
    <row r="101" spans="5:8">
      <c r="E101" s="10" t="str">
        <f t="shared" si="3"/>
        <v/>
      </c>
      <c r="G101" s="15" t="str">
        <f t="shared" si="4"/>
        <v/>
      </c>
      <c r="H101" s="15" t="str">
        <f t="shared" si="5"/>
        <v/>
      </c>
    </row>
    <row r="102" spans="5:8">
      <c r="E102" s="10" t="str">
        <f t="shared" si="3"/>
        <v/>
      </c>
      <c r="G102" s="15" t="str">
        <f t="shared" si="4"/>
        <v/>
      </c>
      <c r="H102" s="15" t="str">
        <f t="shared" si="5"/>
        <v/>
      </c>
    </row>
    <row r="103" spans="5:8">
      <c r="E103" s="10" t="str">
        <f t="shared" si="3"/>
        <v/>
      </c>
      <c r="G103" s="15" t="str">
        <f t="shared" si="4"/>
        <v/>
      </c>
      <c r="H103" s="15" t="str">
        <f t="shared" si="5"/>
        <v/>
      </c>
    </row>
    <row r="104" spans="5:8">
      <c r="E104" s="10" t="str">
        <f t="shared" si="3"/>
        <v/>
      </c>
      <c r="G104" s="15" t="str">
        <f t="shared" si="4"/>
        <v/>
      </c>
      <c r="H104" s="15" t="str">
        <f t="shared" si="5"/>
        <v/>
      </c>
    </row>
    <row r="105" spans="5:8">
      <c r="E105" s="10" t="str">
        <f t="shared" si="3"/>
        <v/>
      </c>
      <c r="G105" s="15" t="str">
        <f t="shared" si="4"/>
        <v/>
      </c>
      <c r="H105" s="15" t="str">
        <f t="shared" si="5"/>
        <v/>
      </c>
    </row>
    <row r="106" spans="5:8">
      <c r="E106" s="10" t="str">
        <f t="shared" si="3"/>
        <v/>
      </c>
      <c r="G106" s="15" t="str">
        <f t="shared" si="4"/>
        <v/>
      </c>
      <c r="H106" s="15" t="str">
        <f t="shared" si="5"/>
        <v/>
      </c>
    </row>
    <row r="107" spans="5:8">
      <c r="E107" s="10" t="str">
        <f t="shared" si="3"/>
        <v/>
      </c>
      <c r="G107" s="15" t="str">
        <f t="shared" si="4"/>
        <v/>
      </c>
      <c r="H107" s="15" t="str">
        <f t="shared" si="5"/>
        <v/>
      </c>
    </row>
    <row r="108" spans="5:8">
      <c r="E108" s="10" t="str">
        <f t="shared" si="3"/>
        <v/>
      </c>
      <c r="G108" s="15" t="str">
        <f t="shared" si="4"/>
        <v/>
      </c>
      <c r="H108" s="15" t="str">
        <f t="shared" si="5"/>
        <v/>
      </c>
    </row>
    <row r="109" spans="5:8">
      <c r="E109" s="10" t="str">
        <f t="shared" si="3"/>
        <v/>
      </c>
      <c r="G109" s="15" t="str">
        <f t="shared" si="4"/>
        <v/>
      </c>
      <c r="H109" s="15" t="str">
        <f t="shared" si="5"/>
        <v/>
      </c>
    </row>
    <row r="110" spans="5:8">
      <c r="E110" s="10" t="str">
        <f t="shared" si="3"/>
        <v/>
      </c>
      <c r="G110" s="15" t="str">
        <f t="shared" si="4"/>
        <v/>
      </c>
      <c r="H110" s="15" t="str">
        <f t="shared" si="5"/>
        <v/>
      </c>
    </row>
    <row r="111" spans="5:8">
      <c r="E111" s="10" t="str">
        <f t="shared" si="3"/>
        <v/>
      </c>
      <c r="G111" s="15" t="str">
        <f t="shared" si="4"/>
        <v/>
      </c>
      <c r="H111" s="15" t="str">
        <f t="shared" si="5"/>
        <v/>
      </c>
    </row>
    <row r="112" spans="5:8">
      <c r="E112" s="10" t="str">
        <f t="shared" si="3"/>
        <v/>
      </c>
      <c r="G112" s="15" t="str">
        <f t="shared" si="4"/>
        <v/>
      </c>
      <c r="H112" s="15" t="str">
        <f t="shared" si="5"/>
        <v/>
      </c>
    </row>
    <row r="113" spans="5:8">
      <c r="E113" s="10" t="str">
        <f t="shared" si="3"/>
        <v/>
      </c>
      <c r="G113" s="15" t="str">
        <f t="shared" si="4"/>
        <v/>
      </c>
      <c r="H113" s="15" t="str">
        <f t="shared" si="5"/>
        <v/>
      </c>
    </row>
    <row r="114" spans="5:8">
      <c r="E114" s="10" t="str">
        <f t="shared" si="3"/>
        <v/>
      </c>
      <c r="G114" s="15" t="str">
        <f t="shared" si="4"/>
        <v/>
      </c>
      <c r="H114" s="15" t="str">
        <f t="shared" si="5"/>
        <v/>
      </c>
    </row>
    <row r="115" spans="5:8">
      <c r="E115" s="10" t="str">
        <f t="shared" si="3"/>
        <v/>
      </c>
      <c r="G115" s="15" t="str">
        <f t="shared" si="4"/>
        <v/>
      </c>
      <c r="H115" s="15" t="str">
        <f t="shared" si="5"/>
        <v/>
      </c>
    </row>
    <row r="116" spans="5:8">
      <c r="E116" s="10" t="str">
        <f t="shared" si="3"/>
        <v/>
      </c>
      <c r="G116" s="15" t="str">
        <f t="shared" si="4"/>
        <v/>
      </c>
      <c r="H116" s="15" t="str">
        <f t="shared" si="5"/>
        <v/>
      </c>
    </row>
    <row r="117" spans="5:8">
      <c r="E117" s="10" t="str">
        <f t="shared" si="3"/>
        <v/>
      </c>
      <c r="G117" s="15" t="str">
        <f t="shared" si="4"/>
        <v/>
      </c>
      <c r="H117" s="15" t="str">
        <f t="shared" si="5"/>
        <v/>
      </c>
    </row>
    <row r="118" spans="5:8">
      <c r="E118" s="10" t="str">
        <f t="shared" si="3"/>
        <v/>
      </c>
      <c r="G118" s="15" t="str">
        <f t="shared" si="4"/>
        <v/>
      </c>
      <c r="H118" s="15" t="str">
        <f t="shared" si="5"/>
        <v/>
      </c>
    </row>
    <row r="119" spans="5:8">
      <c r="E119" s="10" t="str">
        <f t="shared" si="3"/>
        <v/>
      </c>
      <c r="G119" s="15" t="str">
        <f t="shared" si="4"/>
        <v/>
      </c>
      <c r="H119" s="15" t="str">
        <f t="shared" si="5"/>
        <v/>
      </c>
    </row>
    <row r="120" spans="5:8">
      <c r="E120" s="10" t="str">
        <f t="shared" si="3"/>
        <v/>
      </c>
      <c r="G120" s="15" t="str">
        <f t="shared" si="4"/>
        <v/>
      </c>
      <c r="H120" s="15" t="str">
        <f t="shared" si="5"/>
        <v/>
      </c>
    </row>
    <row r="121" spans="5:8">
      <c r="E121" s="10" t="str">
        <f t="shared" si="3"/>
        <v/>
      </c>
      <c r="G121" s="15" t="str">
        <f t="shared" si="4"/>
        <v/>
      </c>
      <c r="H121" s="15" t="str">
        <f t="shared" si="5"/>
        <v/>
      </c>
    </row>
    <row r="122" spans="5:8">
      <c r="E122" s="10" t="str">
        <f t="shared" si="3"/>
        <v/>
      </c>
      <c r="G122" s="15" t="str">
        <f t="shared" si="4"/>
        <v/>
      </c>
      <c r="H122" s="15" t="str">
        <f t="shared" si="5"/>
        <v/>
      </c>
    </row>
    <row r="123" spans="5:8">
      <c r="E123" s="10" t="str">
        <f t="shared" si="3"/>
        <v/>
      </c>
      <c r="G123" s="15" t="str">
        <f t="shared" si="4"/>
        <v/>
      </c>
      <c r="H123" s="15" t="str">
        <f t="shared" si="5"/>
        <v/>
      </c>
    </row>
    <row r="124" spans="5:8">
      <c r="E124" s="10" t="str">
        <f t="shared" si="3"/>
        <v/>
      </c>
      <c r="G124" s="15" t="str">
        <f t="shared" si="4"/>
        <v/>
      </c>
      <c r="H124" s="15" t="str">
        <f t="shared" si="5"/>
        <v/>
      </c>
    </row>
    <row r="125" spans="5:8">
      <c r="E125" s="10" t="str">
        <f t="shared" si="3"/>
        <v/>
      </c>
      <c r="G125" s="15" t="str">
        <f t="shared" si="4"/>
        <v/>
      </c>
      <c r="H125" s="15" t="str">
        <f t="shared" si="5"/>
        <v/>
      </c>
    </row>
    <row r="126" spans="5:8">
      <c r="E126" s="10" t="str">
        <f t="shared" si="3"/>
        <v/>
      </c>
      <c r="G126" s="15" t="str">
        <f t="shared" si="4"/>
        <v/>
      </c>
      <c r="H126" s="15" t="str">
        <f t="shared" si="5"/>
        <v/>
      </c>
    </row>
    <row r="127" spans="5:8">
      <c r="E127" s="10" t="str">
        <f t="shared" si="3"/>
        <v/>
      </c>
      <c r="G127" s="15" t="str">
        <f t="shared" si="4"/>
        <v/>
      </c>
      <c r="H127" s="15" t="str">
        <f t="shared" si="5"/>
        <v/>
      </c>
    </row>
    <row r="128" spans="5:8">
      <c r="E128" s="10" t="str">
        <f t="shared" si="3"/>
        <v/>
      </c>
      <c r="G128" s="15" t="str">
        <f t="shared" si="4"/>
        <v/>
      </c>
      <c r="H128" s="15" t="str">
        <f t="shared" si="5"/>
        <v/>
      </c>
    </row>
    <row r="129" spans="5:8">
      <c r="E129" s="10" t="str">
        <f t="shared" si="3"/>
        <v/>
      </c>
      <c r="G129" s="15" t="str">
        <f t="shared" si="4"/>
        <v/>
      </c>
      <c r="H129" s="15" t="str">
        <f t="shared" si="5"/>
        <v/>
      </c>
    </row>
    <row r="130" spans="5:8">
      <c r="E130" s="10" t="str">
        <f t="shared" si="3"/>
        <v/>
      </c>
      <c r="G130" s="15" t="str">
        <f t="shared" si="4"/>
        <v/>
      </c>
      <c r="H130" s="15" t="str">
        <f t="shared" si="5"/>
        <v/>
      </c>
    </row>
    <row r="131" spans="5:8">
      <c r="E131" s="10" t="str">
        <f t="shared" si="3"/>
        <v/>
      </c>
      <c r="G131" s="15" t="str">
        <f t="shared" si="4"/>
        <v/>
      </c>
      <c r="H131" s="15" t="str">
        <f t="shared" si="5"/>
        <v/>
      </c>
    </row>
    <row r="132" spans="5:8">
      <c r="E132" s="10" t="str">
        <f t="shared" si="3"/>
        <v/>
      </c>
      <c r="G132" s="15" t="str">
        <f t="shared" si="4"/>
        <v/>
      </c>
      <c r="H132" s="15" t="str">
        <f t="shared" si="5"/>
        <v/>
      </c>
    </row>
    <row r="133" spans="5:8">
      <c r="E133" s="10" t="str">
        <f t="shared" si="3"/>
        <v/>
      </c>
      <c r="G133" s="15" t="str">
        <f t="shared" si="4"/>
        <v/>
      </c>
      <c r="H133" s="15" t="str">
        <f t="shared" si="5"/>
        <v/>
      </c>
    </row>
    <row r="134" spans="5:8">
      <c r="E134" s="10" t="str">
        <f t="shared" ref="E134:E197" si="6">IF(ISERROR(-PMT(,C134,B134)),"",-PMT(,C134,B134))</f>
        <v/>
      </c>
      <c r="G134" s="15" t="str">
        <f t="shared" ref="G134:G197" si="7">IF(ISERROR((F134/B134)),"",(F134/B134))</f>
        <v/>
      </c>
      <c r="H134" s="15" t="str">
        <f t="shared" ref="H134:H197" si="8">IF(ISERROR((100%-G134)),"",(100%-G134))</f>
        <v/>
      </c>
    </row>
    <row r="135" spans="5:8">
      <c r="E135" s="10" t="str">
        <f t="shared" si="6"/>
        <v/>
      </c>
      <c r="G135" s="15" t="str">
        <f t="shared" si="7"/>
        <v/>
      </c>
      <c r="H135" s="15" t="str">
        <f t="shared" si="8"/>
        <v/>
      </c>
    </row>
    <row r="136" spans="5:8">
      <c r="E136" s="10" t="str">
        <f t="shared" si="6"/>
        <v/>
      </c>
      <c r="G136" s="15" t="str">
        <f t="shared" si="7"/>
        <v/>
      </c>
      <c r="H136" s="15" t="str">
        <f t="shared" si="8"/>
        <v/>
      </c>
    </row>
    <row r="137" spans="5:8">
      <c r="E137" s="10" t="str">
        <f t="shared" si="6"/>
        <v/>
      </c>
      <c r="G137" s="15" t="str">
        <f t="shared" si="7"/>
        <v/>
      </c>
      <c r="H137" s="15" t="str">
        <f t="shared" si="8"/>
        <v/>
      </c>
    </row>
    <row r="138" spans="5:8">
      <c r="E138" s="10" t="str">
        <f t="shared" si="6"/>
        <v/>
      </c>
      <c r="G138" s="15" t="str">
        <f t="shared" si="7"/>
        <v/>
      </c>
      <c r="H138" s="15" t="str">
        <f t="shared" si="8"/>
        <v/>
      </c>
    </row>
    <row r="139" spans="5:8">
      <c r="E139" s="10" t="str">
        <f t="shared" si="6"/>
        <v/>
      </c>
      <c r="G139" s="15" t="str">
        <f t="shared" si="7"/>
        <v/>
      </c>
      <c r="H139" s="15" t="str">
        <f t="shared" si="8"/>
        <v/>
      </c>
    </row>
    <row r="140" spans="5:8">
      <c r="E140" s="10" t="str">
        <f t="shared" si="6"/>
        <v/>
      </c>
      <c r="G140" s="15" t="str">
        <f t="shared" si="7"/>
        <v/>
      </c>
      <c r="H140" s="15" t="str">
        <f t="shared" si="8"/>
        <v/>
      </c>
    </row>
    <row r="141" spans="5:8">
      <c r="E141" s="10" t="str">
        <f t="shared" si="6"/>
        <v/>
      </c>
      <c r="G141" s="15" t="str">
        <f t="shared" si="7"/>
        <v/>
      </c>
      <c r="H141" s="15" t="str">
        <f t="shared" si="8"/>
        <v/>
      </c>
    </row>
    <row r="142" spans="5:8">
      <c r="E142" s="10" t="str">
        <f t="shared" si="6"/>
        <v/>
      </c>
      <c r="G142" s="15" t="str">
        <f t="shared" si="7"/>
        <v/>
      </c>
      <c r="H142" s="15" t="str">
        <f t="shared" si="8"/>
        <v/>
      </c>
    </row>
    <row r="143" spans="5:8">
      <c r="E143" s="10" t="str">
        <f t="shared" si="6"/>
        <v/>
      </c>
      <c r="G143" s="15" t="str">
        <f t="shared" si="7"/>
        <v/>
      </c>
      <c r="H143" s="15" t="str">
        <f t="shared" si="8"/>
        <v/>
      </c>
    </row>
    <row r="144" spans="5:8">
      <c r="E144" s="10" t="str">
        <f t="shared" si="6"/>
        <v/>
      </c>
      <c r="G144" s="15" t="str">
        <f t="shared" si="7"/>
        <v/>
      </c>
      <c r="H144" s="15" t="str">
        <f t="shared" si="8"/>
        <v/>
      </c>
    </row>
    <row r="145" spans="5:8">
      <c r="E145" s="10" t="str">
        <f t="shared" si="6"/>
        <v/>
      </c>
      <c r="G145" s="15" t="str">
        <f t="shared" si="7"/>
        <v/>
      </c>
      <c r="H145" s="15" t="str">
        <f t="shared" si="8"/>
        <v/>
      </c>
    </row>
    <row r="146" spans="5:8">
      <c r="E146" s="10" t="str">
        <f t="shared" si="6"/>
        <v/>
      </c>
      <c r="G146" s="15" t="str">
        <f t="shared" si="7"/>
        <v/>
      </c>
      <c r="H146" s="15" t="str">
        <f t="shared" si="8"/>
        <v/>
      </c>
    </row>
    <row r="147" spans="5:8">
      <c r="E147" s="10" t="str">
        <f t="shared" si="6"/>
        <v/>
      </c>
      <c r="G147" s="15" t="str">
        <f t="shared" si="7"/>
        <v/>
      </c>
      <c r="H147" s="15" t="str">
        <f t="shared" si="8"/>
        <v/>
      </c>
    </row>
    <row r="148" spans="5:8">
      <c r="E148" s="10" t="str">
        <f t="shared" si="6"/>
        <v/>
      </c>
      <c r="G148" s="15" t="str">
        <f t="shared" si="7"/>
        <v/>
      </c>
      <c r="H148" s="15" t="str">
        <f t="shared" si="8"/>
        <v/>
      </c>
    </row>
    <row r="149" spans="5:8">
      <c r="E149" s="10" t="str">
        <f t="shared" si="6"/>
        <v/>
      </c>
      <c r="G149" s="15" t="str">
        <f t="shared" si="7"/>
        <v/>
      </c>
      <c r="H149" s="15" t="str">
        <f t="shared" si="8"/>
        <v/>
      </c>
    </row>
    <row r="150" spans="5:8">
      <c r="E150" s="10" t="str">
        <f t="shared" si="6"/>
        <v/>
      </c>
      <c r="G150" s="15" t="str">
        <f t="shared" si="7"/>
        <v/>
      </c>
      <c r="H150" s="15" t="str">
        <f t="shared" si="8"/>
        <v/>
      </c>
    </row>
    <row r="151" spans="5:8">
      <c r="E151" s="10" t="str">
        <f t="shared" si="6"/>
        <v/>
      </c>
      <c r="G151" s="15" t="str">
        <f t="shared" si="7"/>
        <v/>
      </c>
      <c r="H151" s="15" t="str">
        <f t="shared" si="8"/>
        <v/>
      </c>
    </row>
    <row r="152" spans="5:8">
      <c r="E152" s="10" t="str">
        <f t="shared" si="6"/>
        <v/>
      </c>
      <c r="G152" s="15" t="str">
        <f t="shared" si="7"/>
        <v/>
      </c>
      <c r="H152" s="15" t="str">
        <f t="shared" si="8"/>
        <v/>
      </c>
    </row>
    <row r="153" spans="5:8">
      <c r="E153" s="10" t="str">
        <f t="shared" si="6"/>
        <v/>
      </c>
      <c r="G153" s="15" t="str">
        <f t="shared" si="7"/>
        <v/>
      </c>
      <c r="H153" s="15" t="str">
        <f t="shared" si="8"/>
        <v/>
      </c>
    </row>
    <row r="154" spans="5:8">
      <c r="E154" s="10" t="str">
        <f t="shared" si="6"/>
        <v/>
      </c>
      <c r="G154" s="15" t="str">
        <f t="shared" si="7"/>
        <v/>
      </c>
      <c r="H154" s="15" t="str">
        <f t="shared" si="8"/>
        <v/>
      </c>
    </row>
    <row r="155" spans="5:8">
      <c r="E155" s="10" t="str">
        <f t="shared" si="6"/>
        <v/>
      </c>
      <c r="G155" s="15" t="str">
        <f t="shared" si="7"/>
        <v/>
      </c>
      <c r="H155" s="15" t="str">
        <f t="shared" si="8"/>
        <v/>
      </c>
    </row>
    <row r="156" spans="5:8">
      <c r="E156" s="10" t="str">
        <f t="shared" si="6"/>
        <v/>
      </c>
      <c r="G156" s="15" t="str">
        <f t="shared" si="7"/>
        <v/>
      </c>
      <c r="H156" s="15" t="str">
        <f t="shared" si="8"/>
        <v/>
      </c>
    </row>
    <row r="157" spans="5:8">
      <c r="E157" s="10" t="str">
        <f t="shared" si="6"/>
        <v/>
      </c>
      <c r="G157" s="15" t="str">
        <f t="shared" si="7"/>
        <v/>
      </c>
      <c r="H157" s="15" t="str">
        <f t="shared" si="8"/>
        <v/>
      </c>
    </row>
    <row r="158" spans="5:8">
      <c r="E158" s="10" t="str">
        <f t="shared" si="6"/>
        <v/>
      </c>
      <c r="G158" s="15" t="str">
        <f t="shared" si="7"/>
        <v/>
      </c>
      <c r="H158" s="15" t="str">
        <f t="shared" si="8"/>
        <v/>
      </c>
    </row>
    <row r="159" spans="5:8">
      <c r="E159" s="10" t="str">
        <f t="shared" si="6"/>
        <v/>
      </c>
      <c r="G159" s="15" t="str">
        <f t="shared" si="7"/>
        <v/>
      </c>
      <c r="H159" s="15" t="str">
        <f t="shared" si="8"/>
        <v/>
      </c>
    </row>
    <row r="160" spans="5:8">
      <c r="E160" s="10" t="str">
        <f t="shared" si="6"/>
        <v/>
      </c>
      <c r="G160" s="15" t="str">
        <f t="shared" si="7"/>
        <v/>
      </c>
      <c r="H160" s="15" t="str">
        <f t="shared" si="8"/>
        <v/>
      </c>
    </row>
    <row r="161" spans="5:8">
      <c r="E161" s="10" t="str">
        <f t="shared" si="6"/>
        <v/>
      </c>
      <c r="G161" s="15" t="str">
        <f t="shared" si="7"/>
        <v/>
      </c>
      <c r="H161" s="15" t="str">
        <f t="shared" si="8"/>
        <v/>
      </c>
    </row>
    <row r="162" spans="5:8">
      <c r="E162" s="10" t="str">
        <f t="shared" si="6"/>
        <v/>
      </c>
      <c r="G162" s="15" t="str">
        <f t="shared" si="7"/>
        <v/>
      </c>
      <c r="H162" s="15" t="str">
        <f t="shared" si="8"/>
        <v/>
      </c>
    </row>
    <row r="163" spans="5:8">
      <c r="E163" s="10" t="str">
        <f t="shared" si="6"/>
        <v/>
      </c>
      <c r="G163" s="15" t="str">
        <f t="shared" si="7"/>
        <v/>
      </c>
      <c r="H163" s="15" t="str">
        <f t="shared" si="8"/>
        <v/>
      </c>
    </row>
    <row r="164" spans="5:8">
      <c r="E164" s="10" t="str">
        <f t="shared" si="6"/>
        <v/>
      </c>
      <c r="G164" s="15" t="str">
        <f t="shared" si="7"/>
        <v/>
      </c>
      <c r="H164" s="15" t="str">
        <f t="shared" si="8"/>
        <v/>
      </c>
    </row>
    <row r="165" spans="5:8">
      <c r="E165" s="10" t="str">
        <f t="shared" si="6"/>
        <v/>
      </c>
      <c r="G165" s="15" t="str">
        <f t="shared" si="7"/>
        <v/>
      </c>
      <c r="H165" s="15" t="str">
        <f t="shared" si="8"/>
        <v/>
      </c>
    </row>
    <row r="166" spans="5:8">
      <c r="E166" s="10" t="str">
        <f t="shared" si="6"/>
        <v/>
      </c>
      <c r="G166" s="15" t="str">
        <f t="shared" si="7"/>
        <v/>
      </c>
      <c r="H166" s="15" t="str">
        <f t="shared" si="8"/>
        <v/>
      </c>
    </row>
    <row r="167" spans="5:8">
      <c r="E167" s="10" t="str">
        <f t="shared" si="6"/>
        <v/>
      </c>
      <c r="G167" s="15" t="str">
        <f t="shared" si="7"/>
        <v/>
      </c>
      <c r="H167" s="15" t="str">
        <f t="shared" si="8"/>
        <v/>
      </c>
    </row>
    <row r="168" spans="5:8">
      <c r="E168" s="10" t="str">
        <f t="shared" si="6"/>
        <v/>
      </c>
      <c r="G168" s="15" t="str">
        <f t="shared" si="7"/>
        <v/>
      </c>
      <c r="H168" s="15" t="str">
        <f t="shared" si="8"/>
        <v/>
      </c>
    </row>
    <row r="169" spans="5:8">
      <c r="E169" s="10" t="str">
        <f t="shared" si="6"/>
        <v/>
      </c>
      <c r="G169" s="15" t="str">
        <f t="shared" si="7"/>
        <v/>
      </c>
      <c r="H169" s="15" t="str">
        <f t="shared" si="8"/>
        <v/>
      </c>
    </row>
    <row r="170" spans="5:8">
      <c r="E170" s="10" t="str">
        <f t="shared" si="6"/>
        <v/>
      </c>
      <c r="G170" s="15" t="str">
        <f t="shared" si="7"/>
        <v/>
      </c>
      <c r="H170" s="15" t="str">
        <f t="shared" si="8"/>
        <v/>
      </c>
    </row>
    <row r="171" spans="5:8">
      <c r="E171" s="10" t="str">
        <f t="shared" si="6"/>
        <v/>
      </c>
      <c r="G171" s="15" t="str">
        <f t="shared" si="7"/>
        <v/>
      </c>
      <c r="H171" s="15" t="str">
        <f t="shared" si="8"/>
        <v/>
      </c>
    </row>
    <row r="172" spans="5:8">
      <c r="E172" s="10" t="str">
        <f t="shared" si="6"/>
        <v/>
      </c>
      <c r="G172" s="15" t="str">
        <f t="shared" si="7"/>
        <v/>
      </c>
      <c r="H172" s="15" t="str">
        <f t="shared" si="8"/>
        <v/>
      </c>
    </row>
    <row r="173" spans="5:8">
      <c r="E173" s="10" t="str">
        <f t="shared" si="6"/>
        <v/>
      </c>
      <c r="G173" s="15" t="str">
        <f t="shared" si="7"/>
        <v/>
      </c>
      <c r="H173" s="15" t="str">
        <f t="shared" si="8"/>
        <v/>
      </c>
    </row>
    <row r="174" spans="5:8">
      <c r="E174" s="10" t="str">
        <f t="shared" si="6"/>
        <v/>
      </c>
      <c r="G174" s="15" t="str">
        <f t="shared" si="7"/>
        <v/>
      </c>
      <c r="H174" s="15" t="str">
        <f t="shared" si="8"/>
        <v/>
      </c>
    </row>
    <row r="175" spans="5:8">
      <c r="E175" s="10" t="str">
        <f t="shared" si="6"/>
        <v/>
      </c>
      <c r="G175" s="15" t="str">
        <f t="shared" si="7"/>
        <v/>
      </c>
      <c r="H175" s="15" t="str">
        <f t="shared" si="8"/>
        <v/>
      </c>
    </row>
    <row r="176" spans="5:8">
      <c r="E176" s="10" t="str">
        <f t="shared" si="6"/>
        <v/>
      </c>
      <c r="G176" s="15" t="str">
        <f t="shared" si="7"/>
        <v/>
      </c>
      <c r="H176" s="15" t="str">
        <f t="shared" si="8"/>
        <v/>
      </c>
    </row>
    <row r="177" spans="5:8">
      <c r="E177" s="10" t="str">
        <f t="shared" si="6"/>
        <v/>
      </c>
      <c r="G177" s="15" t="str">
        <f t="shared" si="7"/>
        <v/>
      </c>
      <c r="H177" s="15" t="str">
        <f t="shared" si="8"/>
        <v/>
      </c>
    </row>
    <row r="178" spans="5:8">
      <c r="E178" s="10" t="str">
        <f t="shared" si="6"/>
        <v/>
      </c>
      <c r="G178" s="15" t="str">
        <f t="shared" si="7"/>
        <v/>
      </c>
      <c r="H178" s="15" t="str">
        <f t="shared" si="8"/>
        <v/>
      </c>
    </row>
    <row r="179" spans="5:8">
      <c r="E179" s="10" t="str">
        <f t="shared" si="6"/>
        <v/>
      </c>
      <c r="G179" s="15" t="str">
        <f t="shared" si="7"/>
        <v/>
      </c>
      <c r="H179" s="15" t="str">
        <f t="shared" si="8"/>
        <v/>
      </c>
    </row>
    <row r="180" spans="5:8">
      <c r="E180" s="10" t="str">
        <f t="shared" si="6"/>
        <v/>
      </c>
      <c r="G180" s="15" t="str">
        <f t="shared" si="7"/>
        <v/>
      </c>
      <c r="H180" s="15" t="str">
        <f t="shared" si="8"/>
        <v/>
      </c>
    </row>
    <row r="181" spans="5:8">
      <c r="E181" s="10" t="str">
        <f t="shared" si="6"/>
        <v/>
      </c>
      <c r="G181" s="15" t="str">
        <f t="shared" si="7"/>
        <v/>
      </c>
      <c r="H181" s="15" t="str">
        <f t="shared" si="8"/>
        <v/>
      </c>
    </row>
    <row r="182" spans="5:8">
      <c r="E182" s="10" t="str">
        <f t="shared" si="6"/>
        <v/>
      </c>
      <c r="G182" s="15" t="str">
        <f t="shared" si="7"/>
        <v/>
      </c>
      <c r="H182" s="15" t="str">
        <f t="shared" si="8"/>
        <v/>
      </c>
    </row>
    <row r="183" spans="5:8">
      <c r="E183" s="10" t="str">
        <f t="shared" si="6"/>
        <v/>
      </c>
      <c r="G183" s="15" t="str">
        <f t="shared" si="7"/>
        <v/>
      </c>
      <c r="H183" s="15" t="str">
        <f t="shared" si="8"/>
        <v/>
      </c>
    </row>
    <row r="184" spans="5:8">
      <c r="E184" s="10" t="str">
        <f t="shared" si="6"/>
        <v/>
      </c>
      <c r="G184" s="15" t="str">
        <f t="shared" si="7"/>
        <v/>
      </c>
      <c r="H184" s="15" t="str">
        <f t="shared" si="8"/>
        <v/>
      </c>
    </row>
    <row r="185" spans="5:8">
      <c r="E185" s="10" t="str">
        <f t="shared" si="6"/>
        <v/>
      </c>
      <c r="G185" s="15" t="str">
        <f t="shared" si="7"/>
        <v/>
      </c>
      <c r="H185" s="15" t="str">
        <f t="shared" si="8"/>
        <v/>
      </c>
    </row>
    <row r="186" spans="5:8">
      <c r="E186" s="10" t="str">
        <f t="shared" si="6"/>
        <v/>
      </c>
      <c r="G186" s="15" t="str">
        <f t="shared" si="7"/>
        <v/>
      </c>
      <c r="H186" s="15" t="str">
        <f t="shared" si="8"/>
        <v/>
      </c>
    </row>
    <row r="187" spans="5:8">
      <c r="E187" s="10" t="str">
        <f t="shared" si="6"/>
        <v/>
      </c>
      <c r="G187" s="15" t="str">
        <f t="shared" si="7"/>
        <v/>
      </c>
      <c r="H187" s="15" t="str">
        <f t="shared" si="8"/>
        <v/>
      </c>
    </row>
    <row r="188" spans="5:8">
      <c r="E188" s="10" t="str">
        <f t="shared" si="6"/>
        <v/>
      </c>
      <c r="G188" s="15" t="str">
        <f t="shared" si="7"/>
        <v/>
      </c>
      <c r="H188" s="15" t="str">
        <f t="shared" si="8"/>
        <v/>
      </c>
    </row>
    <row r="189" spans="5:8">
      <c r="E189" s="10" t="str">
        <f t="shared" si="6"/>
        <v/>
      </c>
      <c r="G189" s="15" t="str">
        <f t="shared" si="7"/>
        <v/>
      </c>
      <c r="H189" s="15" t="str">
        <f t="shared" si="8"/>
        <v/>
      </c>
    </row>
    <row r="190" spans="5:8">
      <c r="E190" s="10" t="str">
        <f t="shared" si="6"/>
        <v/>
      </c>
      <c r="G190" s="15" t="str">
        <f t="shared" si="7"/>
        <v/>
      </c>
      <c r="H190" s="15" t="str">
        <f t="shared" si="8"/>
        <v/>
      </c>
    </row>
    <row r="191" spans="5:8">
      <c r="E191" s="10" t="str">
        <f t="shared" si="6"/>
        <v/>
      </c>
      <c r="G191" s="15" t="str">
        <f t="shared" si="7"/>
        <v/>
      </c>
      <c r="H191" s="15" t="str">
        <f t="shared" si="8"/>
        <v/>
      </c>
    </row>
    <row r="192" spans="5:8">
      <c r="E192" s="10" t="str">
        <f t="shared" si="6"/>
        <v/>
      </c>
      <c r="G192" s="15" t="str">
        <f t="shared" si="7"/>
        <v/>
      </c>
      <c r="H192" s="15" t="str">
        <f t="shared" si="8"/>
        <v/>
      </c>
    </row>
    <row r="193" spans="5:8">
      <c r="E193" s="10" t="str">
        <f t="shared" si="6"/>
        <v/>
      </c>
      <c r="G193" s="15" t="str">
        <f t="shared" si="7"/>
        <v/>
      </c>
      <c r="H193" s="15" t="str">
        <f t="shared" si="8"/>
        <v/>
      </c>
    </row>
    <row r="194" spans="5:8">
      <c r="E194" s="10" t="str">
        <f t="shared" si="6"/>
        <v/>
      </c>
      <c r="G194" s="15" t="str">
        <f t="shared" si="7"/>
        <v/>
      </c>
      <c r="H194" s="15" t="str">
        <f t="shared" si="8"/>
        <v/>
      </c>
    </row>
    <row r="195" spans="5:8">
      <c r="E195" s="10" t="str">
        <f t="shared" si="6"/>
        <v/>
      </c>
      <c r="G195" s="15" t="str">
        <f t="shared" si="7"/>
        <v/>
      </c>
      <c r="H195" s="15" t="str">
        <f t="shared" si="8"/>
        <v/>
      </c>
    </row>
    <row r="196" spans="5:8">
      <c r="E196" s="10" t="str">
        <f t="shared" si="6"/>
        <v/>
      </c>
      <c r="G196" s="15" t="str">
        <f t="shared" si="7"/>
        <v/>
      </c>
      <c r="H196" s="15" t="str">
        <f t="shared" si="8"/>
        <v/>
      </c>
    </row>
    <row r="197" spans="5:8">
      <c r="E197" s="10" t="str">
        <f t="shared" si="6"/>
        <v/>
      </c>
      <c r="G197" s="15" t="str">
        <f t="shared" si="7"/>
        <v/>
      </c>
      <c r="H197" s="15" t="str">
        <f t="shared" si="8"/>
        <v/>
      </c>
    </row>
    <row r="198" spans="5:8">
      <c r="E198" s="10" t="str">
        <f t="shared" ref="E198:E261" si="9">IF(ISERROR(-PMT(,C198,B198)),"",-PMT(,C198,B198))</f>
        <v/>
      </c>
      <c r="G198" s="15" t="str">
        <f t="shared" ref="G198:G245" si="10">IF(ISERROR((F198/B198)),"",(F198/B198))</f>
        <v/>
      </c>
      <c r="H198" s="15" t="str">
        <f t="shared" ref="H198:H201" si="11">IF(ISERROR((100%-G198)),"",(100%-G198))</f>
        <v/>
      </c>
    </row>
    <row r="199" spans="5:8">
      <c r="E199" s="10" t="str">
        <f t="shared" si="9"/>
        <v/>
      </c>
      <c r="G199" s="15" t="str">
        <f t="shared" si="10"/>
        <v/>
      </c>
      <c r="H199" s="15" t="str">
        <f t="shared" si="11"/>
        <v/>
      </c>
    </row>
    <row r="200" spans="5:8">
      <c r="E200" s="10" t="str">
        <f t="shared" si="9"/>
        <v/>
      </c>
      <c r="G200" s="15" t="str">
        <f t="shared" si="10"/>
        <v/>
      </c>
      <c r="H200" s="15" t="str">
        <f t="shared" si="11"/>
        <v/>
      </c>
    </row>
    <row r="201" spans="5:8">
      <c r="E201" s="10" t="str">
        <f t="shared" si="9"/>
        <v/>
      </c>
      <c r="G201" s="15" t="str">
        <f t="shared" si="10"/>
        <v/>
      </c>
      <c r="H201" s="15" t="str">
        <f t="shared" si="11"/>
        <v/>
      </c>
    </row>
    <row r="202" spans="5:8">
      <c r="E202" s="10" t="str">
        <f t="shared" si="9"/>
        <v/>
      </c>
      <c r="G202" s="15" t="str">
        <f t="shared" si="10"/>
        <v/>
      </c>
    </row>
    <row r="203" spans="5:8">
      <c r="E203" s="10" t="str">
        <f t="shared" si="9"/>
        <v/>
      </c>
      <c r="G203" s="15" t="str">
        <f t="shared" si="10"/>
        <v/>
      </c>
    </row>
    <row r="204" spans="5:8">
      <c r="E204" s="10" t="str">
        <f t="shared" si="9"/>
        <v/>
      </c>
      <c r="G204" s="15" t="str">
        <f t="shared" si="10"/>
        <v/>
      </c>
    </row>
    <row r="205" spans="5:8">
      <c r="E205" s="10" t="str">
        <f t="shared" si="9"/>
        <v/>
      </c>
      <c r="G205" s="15" t="str">
        <f t="shared" si="10"/>
        <v/>
      </c>
    </row>
    <row r="206" spans="5:8">
      <c r="E206" s="10" t="str">
        <f t="shared" si="9"/>
        <v/>
      </c>
      <c r="G206" s="15" t="str">
        <f t="shared" si="10"/>
        <v/>
      </c>
    </row>
    <row r="207" spans="5:8">
      <c r="E207" s="10" t="str">
        <f t="shared" si="9"/>
        <v/>
      </c>
      <c r="G207" s="15" t="str">
        <f t="shared" si="10"/>
        <v/>
      </c>
    </row>
    <row r="208" spans="5:8">
      <c r="E208" s="10" t="str">
        <f t="shared" si="9"/>
        <v/>
      </c>
      <c r="G208" s="15" t="str">
        <f t="shared" si="10"/>
        <v/>
      </c>
    </row>
    <row r="209" spans="5:7">
      <c r="E209" s="10" t="str">
        <f t="shared" si="9"/>
        <v/>
      </c>
      <c r="G209" s="15" t="str">
        <f t="shared" si="10"/>
        <v/>
      </c>
    </row>
    <row r="210" spans="5:7">
      <c r="E210" s="10" t="str">
        <f t="shared" si="9"/>
        <v/>
      </c>
      <c r="G210" s="15" t="str">
        <f t="shared" si="10"/>
        <v/>
      </c>
    </row>
    <row r="211" spans="5:7">
      <c r="E211" s="10" t="str">
        <f t="shared" si="9"/>
        <v/>
      </c>
      <c r="G211" s="15" t="str">
        <f t="shared" si="10"/>
        <v/>
      </c>
    </row>
    <row r="212" spans="5:7">
      <c r="E212" s="10" t="str">
        <f t="shared" si="9"/>
        <v/>
      </c>
      <c r="G212" s="15" t="str">
        <f t="shared" si="10"/>
        <v/>
      </c>
    </row>
    <row r="213" spans="5:7">
      <c r="E213" s="10" t="str">
        <f t="shared" si="9"/>
        <v/>
      </c>
      <c r="G213" s="15" t="str">
        <f t="shared" si="10"/>
        <v/>
      </c>
    </row>
    <row r="214" spans="5:7">
      <c r="E214" s="10" t="str">
        <f t="shared" si="9"/>
        <v/>
      </c>
      <c r="G214" s="15" t="str">
        <f t="shared" si="10"/>
        <v/>
      </c>
    </row>
    <row r="215" spans="5:7">
      <c r="E215" s="10" t="str">
        <f t="shared" si="9"/>
        <v/>
      </c>
      <c r="G215" s="15" t="str">
        <f t="shared" si="10"/>
        <v/>
      </c>
    </row>
    <row r="216" spans="5:7">
      <c r="E216" s="10" t="str">
        <f t="shared" si="9"/>
        <v/>
      </c>
      <c r="G216" s="15" t="str">
        <f t="shared" si="10"/>
        <v/>
      </c>
    </row>
    <row r="217" spans="5:7">
      <c r="E217" s="10" t="str">
        <f t="shared" si="9"/>
        <v/>
      </c>
      <c r="G217" s="15" t="str">
        <f t="shared" si="10"/>
        <v/>
      </c>
    </row>
    <row r="218" spans="5:7">
      <c r="E218" s="10" t="str">
        <f t="shared" si="9"/>
        <v/>
      </c>
      <c r="G218" s="15" t="str">
        <f t="shared" si="10"/>
        <v/>
      </c>
    </row>
    <row r="219" spans="5:7">
      <c r="E219" s="10" t="str">
        <f t="shared" si="9"/>
        <v/>
      </c>
      <c r="G219" s="15" t="str">
        <f t="shared" si="10"/>
        <v/>
      </c>
    </row>
    <row r="220" spans="5:7">
      <c r="E220" s="10" t="str">
        <f t="shared" si="9"/>
        <v/>
      </c>
      <c r="G220" s="15" t="str">
        <f t="shared" si="10"/>
        <v/>
      </c>
    </row>
    <row r="221" spans="5:7">
      <c r="E221" s="10" t="str">
        <f t="shared" si="9"/>
        <v/>
      </c>
      <c r="G221" s="15" t="str">
        <f t="shared" si="10"/>
        <v/>
      </c>
    </row>
    <row r="222" spans="5:7">
      <c r="E222" s="10" t="str">
        <f t="shared" si="9"/>
        <v/>
      </c>
      <c r="G222" s="15" t="str">
        <f t="shared" si="10"/>
        <v/>
      </c>
    </row>
    <row r="223" spans="5:7">
      <c r="E223" s="10" t="str">
        <f t="shared" si="9"/>
        <v/>
      </c>
      <c r="G223" s="15" t="str">
        <f t="shared" si="10"/>
        <v/>
      </c>
    </row>
    <row r="224" spans="5:7">
      <c r="E224" s="10" t="str">
        <f t="shared" si="9"/>
        <v/>
      </c>
      <c r="G224" s="15" t="str">
        <f t="shared" si="10"/>
        <v/>
      </c>
    </row>
    <row r="225" spans="5:7">
      <c r="E225" s="10" t="str">
        <f t="shared" si="9"/>
        <v/>
      </c>
      <c r="G225" s="15" t="str">
        <f t="shared" si="10"/>
        <v/>
      </c>
    </row>
    <row r="226" spans="5:7">
      <c r="E226" s="10" t="str">
        <f t="shared" si="9"/>
        <v/>
      </c>
      <c r="G226" s="15" t="str">
        <f t="shared" si="10"/>
        <v/>
      </c>
    </row>
    <row r="227" spans="5:7">
      <c r="E227" s="10" t="str">
        <f t="shared" si="9"/>
        <v/>
      </c>
      <c r="G227" s="15" t="str">
        <f t="shared" si="10"/>
        <v/>
      </c>
    </row>
    <row r="228" spans="5:7">
      <c r="E228" s="10" t="str">
        <f t="shared" si="9"/>
        <v/>
      </c>
      <c r="G228" s="15" t="str">
        <f t="shared" si="10"/>
        <v/>
      </c>
    </row>
    <row r="229" spans="5:7">
      <c r="E229" s="10" t="str">
        <f t="shared" si="9"/>
        <v/>
      </c>
      <c r="G229" s="15" t="str">
        <f t="shared" si="10"/>
        <v/>
      </c>
    </row>
    <row r="230" spans="5:7">
      <c r="E230" s="10" t="str">
        <f t="shared" si="9"/>
        <v/>
      </c>
      <c r="G230" s="15" t="str">
        <f t="shared" si="10"/>
        <v/>
      </c>
    </row>
    <row r="231" spans="5:7">
      <c r="E231" s="10" t="str">
        <f t="shared" si="9"/>
        <v/>
      </c>
      <c r="G231" s="15" t="str">
        <f t="shared" si="10"/>
        <v/>
      </c>
    </row>
    <row r="232" spans="5:7">
      <c r="E232" s="10" t="str">
        <f t="shared" si="9"/>
        <v/>
      </c>
      <c r="G232" s="15" t="str">
        <f t="shared" si="10"/>
        <v/>
      </c>
    </row>
    <row r="233" spans="5:7">
      <c r="E233" s="10" t="str">
        <f t="shared" si="9"/>
        <v/>
      </c>
      <c r="G233" s="15" t="str">
        <f t="shared" si="10"/>
        <v/>
      </c>
    </row>
    <row r="234" spans="5:7">
      <c r="E234" s="10" t="str">
        <f t="shared" si="9"/>
        <v/>
      </c>
      <c r="G234" s="15" t="str">
        <f t="shared" si="10"/>
        <v/>
      </c>
    </row>
    <row r="235" spans="5:7">
      <c r="E235" s="10" t="str">
        <f t="shared" si="9"/>
        <v/>
      </c>
      <c r="G235" s="15" t="str">
        <f t="shared" si="10"/>
        <v/>
      </c>
    </row>
    <row r="236" spans="5:7">
      <c r="E236" s="10" t="str">
        <f t="shared" si="9"/>
        <v/>
      </c>
      <c r="G236" s="15" t="str">
        <f t="shared" si="10"/>
        <v/>
      </c>
    </row>
    <row r="237" spans="5:7">
      <c r="E237" s="10" t="str">
        <f t="shared" si="9"/>
        <v/>
      </c>
      <c r="G237" s="15" t="str">
        <f t="shared" si="10"/>
        <v/>
      </c>
    </row>
    <row r="238" spans="5:7">
      <c r="E238" s="10" t="str">
        <f t="shared" si="9"/>
        <v/>
      </c>
      <c r="G238" s="15" t="str">
        <f t="shared" si="10"/>
        <v/>
      </c>
    </row>
    <row r="239" spans="5:7">
      <c r="E239" s="10" t="str">
        <f t="shared" si="9"/>
        <v/>
      </c>
      <c r="G239" s="15" t="str">
        <f t="shared" si="10"/>
        <v/>
      </c>
    </row>
    <row r="240" spans="5:7">
      <c r="E240" s="10" t="str">
        <f t="shared" si="9"/>
        <v/>
      </c>
      <c r="G240" s="15" t="str">
        <f t="shared" si="10"/>
        <v/>
      </c>
    </row>
    <row r="241" spans="5:7">
      <c r="E241" s="10" t="str">
        <f t="shared" si="9"/>
        <v/>
      </c>
      <c r="G241" s="15" t="str">
        <f t="shared" si="10"/>
        <v/>
      </c>
    </row>
    <row r="242" spans="5:7">
      <c r="E242" s="10" t="str">
        <f t="shared" si="9"/>
        <v/>
      </c>
      <c r="G242" s="15" t="str">
        <f t="shared" si="10"/>
        <v/>
      </c>
    </row>
    <row r="243" spans="5:7">
      <c r="E243" s="10" t="str">
        <f t="shared" si="9"/>
        <v/>
      </c>
      <c r="G243" s="15" t="str">
        <f t="shared" si="10"/>
        <v/>
      </c>
    </row>
    <row r="244" spans="5:7">
      <c r="E244" s="10" t="str">
        <f t="shared" si="9"/>
        <v/>
      </c>
      <c r="G244" s="15" t="str">
        <f t="shared" si="10"/>
        <v/>
      </c>
    </row>
    <row r="245" spans="5:7">
      <c r="E245" s="10" t="str">
        <f t="shared" si="9"/>
        <v/>
      </c>
      <c r="G245" s="15" t="str">
        <f t="shared" si="10"/>
        <v/>
      </c>
    </row>
    <row r="246" spans="5:7">
      <c r="E246" s="10" t="str">
        <f t="shared" si="9"/>
        <v/>
      </c>
    </row>
    <row r="247" spans="5:7">
      <c r="E247" s="10" t="str">
        <f t="shared" si="9"/>
        <v/>
      </c>
    </row>
    <row r="248" spans="5:7">
      <c r="E248" s="10" t="str">
        <f t="shared" si="9"/>
        <v/>
      </c>
    </row>
    <row r="249" spans="5:7">
      <c r="E249" s="10" t="str">
        <f t="shared" si="9"/>
        <v/>
      </c>
    </row>
    <row r="250" spans="5:7">
      <c r="E250" s="10" t="str">
        <f t="shared" si="9"/>
        <v/>
      </c>
    </row>
    <row r="251" spans="5:7">
      <c r="E251" s="10" t="str">
        <f t="shared" si="9"/>
        <v/>
      </c>
    </row>
    <row r="252" spans="5:7">
      <c r="E252" s="10" t="str">
        <f t="shared" si="9"/>
        <v/>
      </c>
    </row>
    <row r="253" spans="5:7">
      <c r="E253" s="10" t="str">
        <f t="shared" si="9"/>
        <v/>
      </c>
    </row>
    <row r="254" spans="5:7">
      <c r="E254" s="10" t="str">
        <f t="shared" si="9"/>
        <v/>
      </c>
    </row>
    <row r="255" spans="5:7">
      <c r="E255" s="10" t="str">
        <f t="shared" si="9"/>
        <v/>
      </c>
    </row>
    <row r="256" spans="5:7">
      <c r="E256" s="10" t="str">
        <f t="shared" si="9"/>
        <v/>
      </c>
    </row>
    <row r="257" spans="5:5">
      <c r="E257" s="10" t="str">
        <f t="shared" si="9"/>
        <v/>
      </c>
    </row>
    <row r="258" spans="5:5">
      <c r="E258" s="10" t="str">
        <f t="shared" si="9"/>
        <v/>
      </c>
    </row>
    <row r="259" spans="5:5">
      <c r="E259" s="10" t="str">
        <f t="shared" si="9"/>
        <v/>
      </c>
    </row>
    <row r="260" spans="5:5">
      <c r="E260" s="10" t="str">
        <f t="shared" si="9"/>
        <v/>
      </c>
    </row>
    <row r="261" spans="5:5">
      <c r="E261" s="10" t="str">
        <f t="shared" si="9"/>
        <v/>
      </c>
    </row>
    <row r="262" spans="5:5">
      <c r="E262" s="10" t="str">
        <f t="shared" ref="E262:E325" si="12">IF(ISERROR(-PMT(,C262,B262)),"",-PMT(,C262,B262))</f>
        <v/>
      </c>
    </row>
    <row r="263" spans="5:5">
      <c r="E263" s="10" t="str">
        <f t="shared" si="12"/>
        <v/>
      </c>
    </row>
    <row r="264" spans="5:5">
      <c r="E264" s="10" t="str">
        <f t="shared" si="12"/>
        <v/>
      </c>
    </row>
    <row r="265" spans="5:5">
      <c r="E265" s="10" t="str">
        <f t="shared" si="12"/>
        <v/>
      </c>
    </row>
    <row r="266" spans="5:5">
      <c r="E266" s="10" t="str">
        <f t="shared" si="12"/>
        <v/>
      </c>
    </row>
    <row r="267" spans="5:5">
      <c r="E267" s="10" t="str">
        <f t="shared" si="12"/>
        <v/>
      </c>
    </row>
    <row r="268" spans="5:5">
      <c r="E268" s="10" t="str">
        <f t="shared" si="12"/>
        <v/>
      </c>
    </row>
    <row r="269" spans="5:5">
      <c r="E269" s="10" t="str">
        <f t="shared" si="12"/>
        <v/>
      </c>
    </row>
    <row r="270" spans="5:5">
      <c r="E270" s="10" t="str">
        <f t="shared" si="12"/>
        <v/>
      </c>
    </row>
    <row r="271" spans="5:5">
      <c r="E271" s="10" t="str">
        <f t="shared" si="12"/>
        <v/>
      </c>
    </row>
    <row r="272" spans="5:5">
      <c r="E272" s="10" t="str">
        <f t="shared" si="12"/>
        <v/>
      </c>
    </row>
    <row r="273" spans="5:5">
      <c r="E273" s="10" t="str">
        <f t="shared" si="12"/>
        <v/>
      </c>
    </row>
    <row r="274" spans="5:5">
      <c r="E274" s="10" t="str">
        <f t="shared" si="12"/>
        <v/>
      </c>
    </row>
    <row r="275" spans="5:5">
      <c r="E275" s="10" t="str">
        <f t="shared" si="12"/>
        <v/>
      </c>
    </row>
    <row r="276" spans="5:5">
      <c r="E276" s="10" t="str">
        <f t="shared" si="12"/>
        <v/>
      </c>
    </row>
    <row r="277" spans="5:5">
      <c r="E277" s="10" t="str">
        <f t="shared" si="12"/>
        <v/>
      </c>
    </row>
    <row r="278" spans="5:5">
      <c r="E278" s="10" t="str">
        <f t="shared" si="12"/>
        <v/>
      </c>
    </row>
    <row r="279" spans="5:5">
      <c r="E279" s="10" t="str">
        <f t="shared" si="12"/>
        <v/>
      </c>
    </row>
    <row r="280" spans="5:5">
      <c r="E280" s="10" t="str">
        <f t="shared" si="12"/>
        <v/>
      </c>
    </row>
    <row r="281" spans="5:5">
      <c r="E281" s="10" t="str">
        <f t="shared" si="12"/>
        <v/>
      </c>
    </row>
    <row r="282" spans="5:5">
      <c r="E282" s="10" t="str">
        <f t="shared" si="12"/>
        <v/>
      </c>
    </row>
    <row r="283" spans="5:5">
      <c r="E283" s="10" t="str">
        <f t="shared" si="12"/>
        <v/>
      </c>
    </row>
    <row r="284" spans="5:5">
      <c r="E284" s="10" t="str">
        <f t="shared" si="12"/>
        <v/>
      </c>
    </row>
    <row r="285" spans="5:5">
      <c r="E285" s="10" t="str">
        <f t="shared" si="12"/>
        <v/>
      </c>
    </row>
    <row r="286" spans="5:5">
      <c r="E286" s="10" t="str">
        <f t="shared" si="12"/>
        <v/>
      </c>
    </row>
    <row r="287" spans="5:5">
      <c r="E287" s="10" t="str">
        <f t="shared" si="12"/>
        <v/>
      </c>
    </row>
    <row r="288" spans="5:5">
      <c r="E288" s="10" t="str">
        <f t="shared" si="12"/>
        <v/>
      </c>
    </row>
    <row r="289" spans="5:5">
      <c r="E289" s="10" t="str">
        <f t="shared" si="12"/>
        <v/>
      </c>
    </row>
    <row r="290" spans="5:5">
      <c r="E290" s="10" t="str">
        <f t="shared" si="12"/>
        <v/>
      </c>
    </row>
    <row r="291" spans="5:5">
      <c r="E291" s="10" t="str">
        <f t="shared" si="12"/>
        <v/>
      </c>
    </row>
    <row r="292" spans="5:5">
      <c r="E292" s="10" t="str">
        <f t="shared" si="12"/>
        <v/>
      </c>
    </row>
    <row r="293" spans="5:5">
      <c r="E293" s="10" t="str">
        <f t="shared" si="12"/>
        <v/>
      </c>
    </row>
    <row r="294" spans="5:5">
      <c r="E294" s="10" t="str">
        <f t="shared" si="12"/>
        <v/>
      </c>
    </row>
    <row r="295" spans="5:5">
      <c r="E295" s="10" t="str">
        <f t="shared" si="12"/>
        <v/>
      </c>
    </row>
    <row r="296" spans="5:5">
      <c r="E296" s="10" t="str">
        <f t="shared" si="12"/>
        <v/>
      </c>
    </row>
    <row r="297" spans="5:5">
      <c r="E297" s="10" t="str">
        <f t="shared" si="12"/>
        <v/>
      </c>
    </row>
    <row r="298" spans="5:5">
      <c r="E298" s="10" t="str">
        <f t="shared" si="12"/>
        <v/>
      </c>
    </row>
    <row r="299" spans="5:5">
      <c r="E299" s="10" t="str">
        <f t="shared" si="12"/>
        <v/>
      </c>
    </row>
    <row r="300" spans="5:5">
      <c r="E300" s="10" t="str">
        <f t="shared" si="12"/>
        <v/>
      </c>
    </row>
    <row r="301" spans="5:5">
      <c r="E301" s="10" t="str">
        <f t="shared" si="12"/>
        <v/>
      </c>
    </row>
    <row r="302" spans="5:5">
      <c r="E302" s="10" t="str">
        <f t="shared" si="12"/>
        <v/>
      </c>
    </row>
    <row r="303" spans="5:5">
      <c r="E303" s="10" t="str">
        <f t="shared" si="12"/>
        <v/>
      </c>
    </row>
    <row r="304" spans="5:5">
      <c r="E304" s="10" t="str">
        <f t="shared" si="12"/>
        <v/>
      </c>
    </row>
    <row r="305" spans="5:5">
      <c r="E305" s="10" t="str">
        <f t="shared" si="12"/>
        <v/>
      </c>
    </row>
    <row r="306" spans="5:5">
      <c r="E306" s="10" t="str">
        <f t="shared" si="12"/>
        <v/>
      </c>
    </row>
    <row r="307" spans="5:5">
      <c r="E307" s="10" t="str">
        <f t="shared" si="12"/>
        <v/>
      </c>
    </row>
    <row r="308" spans="5:5">
      <c r="E308" s="10" t="str">
        <f t="shared" si="12"/>
        <v/>
      </c>
    </row>
    <row r="309" spans="5:5">
      <c r="E309" s="10" t="str">
        <f t="shared" si="12"/>
        <v/>
      </c>
    </row>
    <row r="310" spans="5:5">
      <c r="E310" s="10" t="str">
        <f t="shared" si="12"/>
        <v/>
      </c>
    </row>
    <row r="311" spans="5:5">
      <c r="E311" s="10" t="str">
        <f t="shared" si="12"/>
        <v/>
      </c>
    </row>
    <row r="312" spans="5:5">
      <c r="E312" s="10" t="str">
        <f t="shared" si="12"/>
        <v/>
      </c>
    </row>
    <row r="313" spans="5:5">
      <c r="E313" s="10" t="str">
        <f t="shared" si="12"/>
        <v/>
      </c>
    </row>
    <row r="314" spans="5:5">
      <c r="E314" s="10" t="str">
        <f t="shared" si="12"/>
        <v/>
      </c>
    </row>
    <row r="315" spans="5:5">
      <c r="E315" s="10" t="str">
        <f t="shared" si="12"/>
        <v/>
      </c>
    </row>
    <row r="316" spans="5:5">
      <c r="E316" s="10" t="str">
        <f t="shared" si="12"/>
        <v/>
      </c>
    </row>
    <row r="317" spans="5:5">
      <c r="E317" s="10" t="str">
        <f t="shared" si="12"/>
        <v/>
      </c>
    </row>
    <row r="318" spans="5:5">
      <c r="E318" s="10" t="str">
        <f t="shared" si="12"/>
        <v/>
      </c>
    </row>
    <row r="319" spans="5:5">
      <c r="E319" s="10" t="str">
        <f t="shared" si="12"/>
        <v/>
      </c>
    </row>
    <row r="320" spans="5:5">
      <c r="E320" s="10" t="str">
        <f t="shared" si="12"/>
        <v/>
      </c>
    </row>
    <row r="321" spans="5:5">
      <c r="E321" s="10" t="str">
        <f t="shared" si="12"/>
        <v/>
      </c>
    </row>
    <row r="322" spans="5:5">
      <c r="E322" s="10" t="str">
        <f t="shared" si="12"/>
        <v/>
      </c>
    </row>
    <row r="323" spans="5:5">
      <c r="E323" s="10" t="str">
        <f t="shared" si="12"/>
        <v/>
      </c>
    </row>
    <row r="324" spans="5:5">
      <c r="E324" s="10" t="str">
        <f t="shared" si="12"/>
        <v/>
      </c>
    </row>
    <row r="325" spans="5:5">
      <c r="E325" s="10" t="str">
        <f t="shared" si="12"/>
        <v/>
      </c>
    </row>
    <row r="326" spans="5:5">
      <c r="E326" s="10" t="str">
        <f t="shared" ref="E326:E389" si="13">IF(ISERROR(-PMT(,C326,B326)),"",-PMT(,C326,B326))</f>
        <v/>
      </c>
    </row>
    <row r="327" spans="5:5">
      <c r="E327" s="10" t="str">
        <f t="shared" si="13"/>
        <v/>
      </c>
    </row>
    <row r="328" spans="5:5">
      <c r="E328" s="10" t="str">
        <f t="shared" si="13"/>
        <v/>
      </c>
    </row>
    <row r="329" spans="5:5">
      <c r="E329" s="10" t="str">
        <f t="shared" si="13"/>
        <v/>
      </c>
    </row>
    <row r="330" spans="5:5">
      <c r="E330" s="10" t="str">
        <f t="shared" si="13"/>
        <v/>
      </c>
    </row>
    <row r="331" spans="5:5">
      <c r="E331" s="10" t="str">
        <f t="shared" si="13"/>
        <v/>
      </c>
    </row>
    <row r="332" spans="5:5">
      <c r="E332" s="10" t="str">
        <f t="shared" si="13"/>
        <v/>
      </c>
    </row>
    <row r="333" spans="5:5">
      <c r="E333" s="10" t="str">
        <f t="shared" si="13"/>
        <v/>
      </c>
    </row>
    <row r="334" spans="5:5">
      <c r="E334" s="10" t="str">
        <f t="shared" si="13"/>
        <v/>
      </c>
    </row>
    <row r="335" spans="5:5">
      <c r="E335" s="10" t="str">
        <f t="shared" si="13"/>
        <v/>
      </c>
    </row>
    <row r="336" spans="5:5">
      <c r="E336" s="10" t="str">
        <f t="shared" si="13"/>
        <v/>
      </c>
    </row>
    <row r="337" spans="5:5">
      <c r="E337" s="10" t="str">
        <f t="shared" si="13"/>
        <v/>
      </c>
    </row>
    <row r="338" spans="5:5">
      <c r="E338" s="10" t="str">
        <f t="shared" si="13"/>
        <v/>
      </c>
    </row>
    <row r="339" spans="5:5">
      <c r="E339" s="10" t="str">
        <f t="shared" si="13"/>
        <v/>
      </c>
    </row>
    <row r="340" spans="5:5">
      <c r="E340" s="10" t="str">
        <f t="shared" si="13"/>
        <v/>
      </c>
    </row>
    <row r="341" spans="5:5">
      <c r="E341" s="10" t="str">
        <f t="shared" si="13"/>
        <v/>
      </c>
    </row>
    <row r="342" spans="5:5">
      <c r="E342" s="10" t="str">
        <f t="shared" si="13"/>
        <v/>
      </c>
    </row>
    <row r="343" spans="5:5">
      <c r="E343" s="10" t="str">
        <f t="shared" si="13"/>
        <v/>
      </c>
    </row>
    <row r="344" spans="5:5">
      <c r="E344" s="10" t="str">
        <f t="shared" si="13"/>
        <v/>
      </c>
    </row>
    <row r="345" spans="5:5">
      <c r="E345" s="10" t="str">
        <f t="shared" si="13"/>
        <v/>
      </c>
    </row>
    <row r="346" spans="5:5">
      <c r="E346" s="10" t="str">
        <f t="shared" si="13"/>
        <v/>
      </c>
    </row>
    <row r="347" spans="5:5">
      <c r="E347" s="10" t="str">
        <f t="shared" si="13"/>
        <v/>
      </c>
    </row>
    <row r="348" spans="5:5">
      <c r="E348" s="10" t="str">
        <f t="shared" si="13"/>
        <v/>
      </c>
    </row>
    <row r="349" spans="5:5">
      <c r="E349" s="10" t="str">
        <f t="shared" si="13"/>
        <v/>
      </c>
    </row>
    <row r="350" spans="5:5">
      <c r="E350" s="10" t="str">
        <f t="shared" si="13"/>
        <v/>
      </c>
    </row>
    <row r="351" spans="5:5">
      <c r="E351" s="10" t="str">
        <f t="shared" si="13"/>
        <v/>
      </c>
    </row>
    <row r="352" spans="5:5">
      <c r="E352" s="10" t="str">
        <f t="shared" si="13"/>
        <v/>
      </c>
    </row>
    <row r="353" spans="5:5">
      <c r="E353" s="10" t="str">
        <f t="shared" si="13"/>
        <v/>
      </c>
    </row>
    <row r="354" spans="5:5">
      <c r="E354" s="10" t="str">
        <f t="shared" si="13"/>
        <v/>
      </c>
    </row>
    <row r="355" spans="5:5">
      <c r="E355" s="10" t="str">
        <f t="shared" si="13"/>
        <v/>
      </c>
    </row>
    <row r="356" spans="5:5">
      <c r="E356" s="10" t="str">
        <f t="shared" si="13"/>
        <v/>
      </c>
    </row>
    <row r="357" spans="5:5">
      <c r="E357" s="10" t="str">
        <f t="shared" si="13"/>
        <v/>
      </c>
    </row>
    <row r="358" spans="5:5">
      <c r="E358" s="10" t="str">
        <f t="shared" si="13"/>
        <v/>
      </c>
    </row>
    <row r="359" spans="5:5">
      <c r="E359" s="10" t="str">
        <f t="shared" si="13"/>
        <v/>
      </c>
    </row>
    <row r="360" spans="5:5">
      <c r="E360" s="10" t="str">
        <f t="shared" si="13"/>
        <v/>
      </c>
    </row>
    <row r="361" spans="5:5">
      <c r="E361" s="10" t="str">
        <f t="shared" si="13"/>
        <v/>
      </c>
    </row>
    <row r="362" spans="5:5">
      <c r="E362" s="10" t="str">
        <f t="shared" si="13"/>
        <v/>
      </c>
    </row>
    <row r="363" spans="5:5">
      <c r="E363" s="10" t="str">
        <f t="shared" si="13"/>
        <v/>
      </c>
    </row>
    <row r="364" spans="5:5">
      <c r="E364" s="10" t="str">
        <f t="shared" si="13"/>
        <v/>
      </c>
    </row>
    <row r="365" spans="5:5">
      <c r="E365" s="10" t="str">
        <f t="shared" si="13"/>
        <v/>
      </c>
    </row>
    <row r="366" spans="5:5">
      <c r="E366" s="10" t="str">
        <f t="shared" si="13"/>
        <v/>
      </c>
    </row>
    <row r="367" spans="5:5">
      <c r="E367" s="10" t="str">
        <f t="shared" si="13"/>
        <v/>
      </c>
    </row>
    <row r="368" spans="5:5">
      <c r="E368" s="10" t="str">
        <f t="shared" si="13"/>
        <v/>
      </c>
    </row>
    <row r="369" spans="5:5">
      <c r="E369" s="10" t="str">
        <f t="shared" si="13"/>
        <v/>
      </c>
    </row>
    <row r="370" spans="5:5">
      <c r="E370" s="10" t="str">
        <f t="shared" si="13"/>
        <v/>
      </c>
    </row>
    <row r="371" spans="5:5">
      <c r="E371" s="10" t="str">
        <f t="shared" si="13"/>
        <v/>
      </c>
    </row>
    <row r="372" spans="5:5">
      <c r="E372" s="10" t="str">
        <f t="shared" si="13"/>
        <v/>
      </c>
    </row>
    <row r="373" spans="5:5">
      <c r="E373" s="10" t="str">
        <f t="shared" si="13"/>
        <v/>
      </c>
    </row>
    <row r="374" spans="5:5">
      <c r="E374" s="10" t="str">
        <f t="shared" si="13"/>
        <v/>
      </c>
    </row>
    <row r="375" spans="5:5">
      <c r="E375" s="10" t="str">
        <f t="shared" si="13"/>
        <v/>
      </c>
    </row>
    <row r="376" spans="5:5">
      <c r="E376" s="10" t="str">
        <f t="shared" si="13"/>
        <v/>
      </c>
    </row>
    <row r="377" spans="5:5">
      <c r="E377" s="10" t="str">
        <f t="shared" si="13"/>
        <v/>
      </c>
    </row>
    <row r="378" spans="5:5">
      <c r="E378" s="10" t="str">
        <f t="shared" si="13"/>
        <v/>
      </c>
    </row>
    <row r="379" spans="5:5">
      <c r="E379" s="10" t="str">
        <f t="shared" si="13"/>
        <v/>
      </c>
    </row>
    <row r="380" spans="5:5">
      <c r="E380" s="10" t="str">
        <f t="shared" si="13"/>
        <v/>
      </c>
    </row>
    <row r="381" spans="5:5">
      <c r="E381" s="10" t="str">
        <f t="shared" si="13"/>
        <v/>
      </c>
    </row>
    <row r="382" spans="5:5">
      <c r="E382" s="10" t="str">
        <f t="shared" si="13"/>
        <v/>
      </c>
    </row>
    <row r="383" spans="5:5">
      <c r="E383" s="10" t="str">
        <f t="shared" si="13"/>
        <v/>
      </c>
    </row>
    <row r="384" spans="5:5">
      <c r="E384" s="10" t="str">
        <f t="shared" si="13"/>
        <v/>
      </c>
    </row>
    <row r="385" spans="5:5">
      <c r="E385" s="10" t="str">
        <f t="shared" si="13"/>
        <v/>
      </c>
    </row>
    <row r="386" spans="5:5">
      <c r="E386" s="10" t="str">
        <f t="shared" si="13"/>
        <v/>
      </c>
    </row>
    <row r="387" spans="5:5">
      <c r="E387" s="10" t="str">
        <f t="shared" si="13"/>
        <v/>
      </c>
    </row>
    <row r="388" spans="5:5">
      <c r="E388" s="10" t="str">
        <f t="shared" si="13"/>
        <v/>
      </c>
    </row>
    <row r="389" spans="5:5">
      <c r="E389" s="10" t="str">
        <f t="shared" si="13"/>
        <v/>
      </c>
    </row>
    <row r="390" spans="5:5">
      <c r="E390" s="10" t="str">
        <f t="shared" ref="E390:E453" si="14">IF(ISERROR(-PMT(,C390,B390)),"",-PMT(,C390,B390))</f>
        <v/>
      </c>
    </row>
    <row r="391" spans="5:5">
      <c r="E391" s="10" t="str">
        <f t="shared" si="14"/>
        <v/>
      </c>
    </row>
    <row r="392" spans="5:5">
      <c r="E392" s="10" t="str">
        <f t="shared" si="14"/>
        <v/>
      </c>
    </row>
    <row r="393" spans="5:5">
      <c r="E393" s="10" t="str">
        <f t="shared" si="14"/>
        <v/>
      </c>
    </row>
    <row r="394" spans="5:5">
      <c r="E394" s="10" t="str">
        <f t="shared" si="14"/>
        <v/>
      </c>
    </row>
    <row r="395" spans="5:5">
      <c r="E395" s="10" t="str">
        <f t="shared" si="14"/>
        <v/>
      </c>
    </row>
    <row r="396" spans="5:5">
      <c r="E396" s="10" t="str">
        <f t="shared" si="14"/>
        <v/>
      </c>
    </row>
    <row r="397" spans="5:5">
      <c r="E397" s="10" t="str">
        <f t="shared" si="14"/>
        <v/>
      </c>
    </row>
    <row r="398" spans="5:5">
      <c r="E398" s="10" t="str">
        <f t="shared" si="14"/>
        <v/>
      </c>
    </row>
    <row r="399" spans="5:5">
      <c r="E399" s="10" t="str">
        <f t="shared" si="14"/>
        <v/>
      </c>
    </row>
    <row r="400" spans="5:5">
      <c r="E400" s="10" t="str">
        <f t="shared" si="14"/>
        <v/>
      </c>
    </row>
    <row r="401" spans="5:5">
      <c r="E401" s="10" t="str">
        <f t="shared" si="14"/>
        <v/>
      </c>
    </row>
    <row r="402" spans="5:5">
      <c r="E402" s="10" t="str">
        <f t="shared" si="14"/>
        <v/>
      </c>
    </row>
    <row r="403" spans="5:5">
      <c r="E403" s="10" t="str">
        <f t="shared" si="14"/>
        <v/>
      </c>
    </row>
    <row r="404" spans="5:5">
      <c r="E404" s="10" t="str">
        <f t="shared" si="14"/>
        <v/>
      </c>
    </row>
    <row r="405" spans="5:5">
      <c r="E405" s="10" t="str">
        <f t="shared" si="14"/>
        <v/>
      </c>
    </row>
    <row r="406" spans="5:5">
      <c r="E406" s="10" t="str">
        <f t="shared" si="14"/>
        <v/>
      </c>
    </row>
    <row r="407" spans="5:5">
      <c r="E407" s="10" t="str">
        <f t="shared" si="14"/>
        <v/>
      </c>
    </row>
    <row r="408" spans="5:5">
      <c r="E408" s="10" t="str">
        <f t="shared" si="14"/>
        <v/>
      </c>
    </row>
    <row r="409" spans="5:5">
      <c r="E409" s="10" t="str">
        <f t="shared" si="14"/>
        <v/>
      </c>
    </row>
    <row r="410" spans="5:5">
      <c r="E410" s="10" t="str">
        <f t="shared" si="14"/>
        <v/>
      </c>
    </row>
    <row r="411" spans="5:5">
      <c r="E411" s="10" t="str">
        <f t="shared" si="14"/>
        <v/>
      </c>
    </row>
    <row r="412" spans="5:5">
      <c r="E412" s="10" t="str">
        <f t="shared" si="14"/>
        <v/>
      </c>
    </row>
    <row r="413" spans="5:5">
      <c r="E413" s="10" t="str">
        <f t="shared" si="14"/>
        <v/>
      </c>
    </row>
    <row r="414" spans="5:5">
      <c r="E414" s="10" t="str">
        <f t="shared" si="14"/>
        <v/>
      </c>
    </row>
    <row r="415" spans="5:5">
      <c r="E415" s="10" t="str">
        <f t="shared" si="14"/>
        <v/>
      </c>
    </row>
    <row r="416" spans="5:5">
      <c r="E416" s="10" t="str">
        <f t="shared" si="14"/>
        <v/>
      </c>
    </row>
    <row r="417" spans="5:5">
      <c r="E417" s="10" t="str">
        <f t="shared" si="14"/>
        <v/>
      </c>
    </row>
    <row r="418" spans="5:5">
      <c r="E418" s="10" t="str">
        <f t="shared" si="14"/>
        <v/>
      </c>
    </row>
    <row r="419" spans="5:5">
      <c r="E419" s="10" t="str">
        <f t="shared" si="14"/>
        <v/>
      </c>
    </row>
    <row r="420" spans="5:5">
      <c r="E420" s="10" t="str">
        <f t="shared" si="14"/>
        <v/>
      </c>
    </row>
    <row r="421" spans="5:5">
      <c r="E421" s="10" t="str">
        <f t="shared" si="14"/>
        <v/>
      </c>
    </row>
    <row r="422" spans="5:5">
      <c r="E422" s="10" t="str">
        <f t="shared" si="14"/>
        <v/>
      </c>
    </row>
    <row r="423" spans="5:5">
      <c r="E423" s="10" t="str">
        <f t="shared" si="14"/>
        <v/>
      </c>
    </row>
    <row r="424" spans="5:5">
      <c r="E424" s="10" t="str">
        <f t="shared" si="14"/>
        <v/>
      </c>
    </row>
    <row r="425" spans="5:5">
      <c r="E425" s="10" t="str">
        <f t="shared" si="14"/>
        <v/>
      </c>
    </row>
    <row r="426" spans="5:5">
      <c r="E426" s="10" t="str">
        <f t="shared" si="14"/>
        <v/>
      </c>
    </row>
    <row r="427" spans="5:5">
      <c r="E427" s="10" t="str">
        <f t="shared" si="14"/>
        <v/>
      </c>
    </row>
    <row r="428" spans="5:5">
      <c r="E428" s="10" t="str">
        <f t="shared" si="14"/>
        <v/>
      </c>
    </row>
    <row r="429" spans="5:5">
      <c r="E429" s="10" t="str">
        <f t="shared" si="14"/>
        <v/>
      </c>
    </row>
    <row r="430" spans="5:5">
      <c r="E430" s="10" t="str">
        <f t="shared" si="14"/>
        <v/>
      </c>
    </row>
    <row r="431" spans="5:5">
      <c r="E431" s="10" t="str">
        <f t="shared" si="14"/>
        <v/>
      </c>
    </row>
    <row r="432" spans="5:5">
      <c r="E432" s="10" t="str">
        <f t="shared" si="14"/>
        <v/>
      </c>
    </row>
    <row r="433" spans="5:5">
      <c r="E433" s="10" t="str">
        <f t="shared" si="14"/>
        <v/>
      </c>
    </row>
    <row r="434" spans="5:5">
      <c r="E434" s="10" t="str">
        <f t="shared" si="14"/>
        <v/>
      </c>
    </row>
    <row r="435" spans="5:5">
      <c r="E435" s="10" t="str">
        <f t="shared" si="14"/>
        <v/>
      </c>
    </row>
    <row r="436" spans="5:5">
      <c r="E436" s="10" t="str">
        <f t="shared" si="14"/>
        <v/>
      </c>
    </row>
    <row r="437" spans="5:5">
      <c r="E437" s="10" t="str">
        <f t="shared" si="14"/>
        <v/>
      </c>
    </row>
    <row r="438" spans="5:5">
      <c r="E438" s="10" t="str">
        <f t="shared" si="14"/>
        <v/>
      </c>
    </row>
    <row r="439" spans="5:5">
      <c r="E439" s="10" t="str">
        <f t="shared" si="14"/>
        <v/>
      </c>
    </row>
    <row r="440" spans="5:5">
      <c r="E440" s="10" t="str">
        <f t="shared" si="14"/>
        <v/>
      </c>
    </row>
    <row r="441" spans="5:5">
      <c r="E441" s="10" t="str">
        <f t="shared" si="14"/>
        <v/>
      </c>
    </row>
    <row r="442" spans="5:5">
      <c r="E442" s="10" t="str">
        <f t="shared" si="14"/>
        <v/>
      </c>
    </row>
    <row r="443" spans="5:5">
      <c r="E443" s="10" t="str">
        <f t="shared" si="14"/>
        <v/>
      </c>
    </row>
    <row r="444" spans="5:5">
      <c r="E444" s="10" t="str">
        <f t="shared" si="14"/>
        <v/>
      </c>
    </row>
    <row r="445" spans="5:5">
      <c r="E445" s="10" t="str">
        <f t="shared" si="14"/>
        <v/>
      </c>
    </row>
    <row r="446" spans="5:5">
      <c r="E446" s="10" t="str">
        <f t="shared" si="14"/>
        <v/>
      </c>
    </row>
    <row r="447" spans="5:5">
      <c r="E447" s="10" t="str">
        <f t="shared" si="14"/>
        <v/>
      </c>
    </row>
    <row r="448" spans="5:5">
      <c r="E448" s="10" t="str">
        <f t="shared" si="14"/>
        <v/>
      </c>
    </row>
    <row r="449" spans="5:5">
      <c r="E449" s="10" t="str">
        <f t="shared" si="14"/>
        <v/>
      </c>
    </row>
    <row r="450" spans="5:5">
      <c r="E450" s="10" t="str">
        <f t="shared" si="14"/>
        <v/>
      </c>
    </row>
    <row r="451" spans="5:5">
      <c r="E451" s="10" t="str">
        <f t="shared" si="14"/>
        <v/>
      </c>
    </row>
    <row r="452" spans="5:5">
      <c r="E452" s="10" t="str">
        <f t="shared" si="14"/>
        <v/>
      </c>
    </row>
    <row r="453" spans="5:5">
      <c r="E453" s="10" t="str">
        <f t="shared" si="14"/>
        <v/>
      </c>
    </row>
    <row r="454" spans="5:5">
      <c r="E454" s="10" t="str">
        <f t="shared" ref="E454:E517" si="15">IF(ISERROR(-PMT(,C454,B454)),"",-PMT(,C454,B454))</f>
        <v/>
      </c>
    </row>
    <row r="455" spans="5:5">
      <c r="E455" s="10" t="str">
        <f t="shared" si="15"/>
        <v/>
      </c>
    </row>
    <row r="456" spans="5:5">
      <c r="E456" s="10" t="str">
        <f t="shared" si="15"/>
        <v/>
      </c>
    </row>
    <row r="457" spans="5:5">
      <c r="E457" s="10" t="str">
        <f t="shared" si="15"/>
        <v/>
      </c>
    </row>
    <row r="458" spans="5:5">
      <c r="E458" s="10" t="str">
        <f t="shared" si="15"/>
        <v/>
      </c>
    </row>
    <row r="459" spans="5:5">
      <c r="E459" s="10" t="str">
        <f t="shared" si="15"/>
        <v/>
      </c>
    </row>
    <row r="460" spans="5:5">
      <c r="E460" s="10" t="str">
        <f t="shared" si="15"/>
        <v/>
      </c>
    </row>
    <row r="461" spans="5:5">
      <c r="E461" s="10" t="str">
        <f t="shared" si="15"/>
        <v/>
      </c>
    </row>
    <row r="462" spans="5:5">
      <c r="E462" s="10" t="str">
        <f t="shared" si="15"/>
        <v/>
      </c>
    </row>
    <row r="463" spans="5:5">
      <c r="E463" s="10" t="str">
        <f t="shared" si="15"/>
        <v/>
      </c>
    </row>
    <row r="464" spans="5:5">
      <c r="E464" s="10" t="str">
        <f t="shared" si="15"/>
        <v/>
      </c>
    </row>
    <row r="465" spans="5:5">
      <c r="E465" s="10" t="str">
        <f t="shared" si="15"/>
        <v/>
      </c>
    </row>
    <row r="466" spans="5:5">
      <c r="E466" s="10" t="str">
        <f t="shared" si="15"/>
        <v/>
      </c>
    </row>
    <row r="467" spans="5:5">
      <c r="E467" s="10" t="str">
        <f t="shared" si="15"/>
        <v/>
      </c>
    </row>
    <row r="468" spans="5:5">
      <c r="E468" s="10" t="str">
        <f t="shared" si="15"/>
        <v/>
      </c>
    </row>
    <row r="469" spans="5:5">
      <c r="E469" s="10" t="str">
        <f t="shared" si="15"/>
        <v/>
      </c>
    </row>
    <row r="470" spans="5:5">
      <c r="E470" s="10" t="str">
        <f t="shared" si="15"/>
        <v/>
      </c>
    </row>
    <row r="471" spans="5:5">
      <c r="E471" s="10" t="str">
        <f t="shared" si="15"/>
        <v/>
      </c>
    </row>
    <row r="472" spans="5:5">
      <c r="E472" s="10" t="str">
        <f t="shared" si="15"/>
        <v/>
      </c>
    </row>
    <row r="473" spans="5:5">
      <c r="E473" s="10" t="str">
        <f t="shared" si="15"/>
        <v/>
      </c>
    </row>
    <row r="474" spans="5:5">
      <c r="E474" s="10" t="str">
        <f t="shared" si="15"/>
        <v/>
      </c>
    </row>
    <row r="475" spans="5:5">
      <c r="E475" s="10" t="str">
        <f t="shared" si="15"/>
        <v/>
      </c>
    </row>
    <row r="476" spans="5:5">
      <c r="E476" s="10" t="str">
        <f t="shared" si="15"/>
        <v/>
      </c>
    </row>
    <row r="477" spans="5:5">
      <c r="E477" s="10" t="str">
        <f t="shared" si="15"/>
        <v/>
      </c>
    </row>
    <row r="478" spans="5:5">
      <c r="E478" s="10" t="str">
        <f t="shared" si="15"/>
        <v/>
      </c>
    </row>
    <row r="479" spans="5:5">
      <c r="E479" s="10" t="str">
        <f t="shared" si="15"/>
        <v/>
      </c>
    </row>
    <row r="480" spans="5:5">
      <c r="E480" s="10" t="str">
        <f t="shared" si="15"/>
        <v/>
      </c>
    </row>
    <row r="481" spans="5:5">
      <c r="E481" s="10" t="str">
        <f t="shared" si="15"/>
        <v/>
      </c>
    </row>
    <row r="482" spans="5:5">
      <c r="E482" s="10" t="str">
        <f t="shared" si="15"/>
        <v/>
      </c>
    </row>
    <row r="483" spans="5:5">
      <c r="E483" s="10" t="str">
        <f t="shared" si="15"/>
        <v/>
      </c>
    </row>
    <row r="484" spans="5:5">
      <c r="E484" s="10" t="str">
        <f t="shared" si="15"/>
        <v/>
      </c>
    </row>
    <row r="485" spans="5:5">
      <c r="E485" s="10" t="str">
        <f t="shared" si="15"/>
        <v/>
      </c>
    </row>
    <row r="486" spans="5:5">
      <c r="E486" s="10" t="str">
        <f t="shared" si="15"/>
        <v/>
      </c>
    </row>
    <row r="487" spans="5:5">
      <c r="E487" s="10" t="str">
        <f t="shared" si="15"/>
        <v/>
      </c>
    </row>
    <row r="488" spans="5:5">
      <c r="E488" s="10" t="str">
        <f t="shared" si="15"/>
        <v/>
      </c>
    </row>
    <row r="489" spans="5:5">
      <c r="E489" s="10" t="str">
        <f t="shared" si="15"/>
        <v/>
      </c>
    </row>
    <row r="490" spans="5:5">
      <c r="E490" s="10" t="str">
        <f t="shared" si="15"/>
        <v/>
      </c>
    </row>
    <row r="491" spans="5:5">
      <c r="E491" s="10" t="str">
        <f t="shared" si="15"/>
        <v/>
      </c>
    </row>
    <row r="492" spans="5:5">
      <c r="E492" s="10" t="str">
        <f t="shared" si="15"/>
        <v/>
      </c>
    </row>
    <row r="493" spans="5:5">
      <c r="E493" s="10" t="str">
        <f t="shared" si="15"/>
        <v/>
      </c>
    </row>
    <row r="494" spans="5:5">
      <c r="E494" s="10" t="str">
        <f t="shared" si="15"/>
        <v/>
      </c>
    </row>
    <row r="495" spans="5:5">
      <c r="E495" s="10" t="str">
        <f t="shared" si="15"/>
        <v/>
      </c>
    </row>
    <row r="496" spans="5:5">
      <c r="E496" s="10" t="str">
        <f t="shared" si="15"/>
        <v/>
      </c>
    </row>
    <row r="497" spans="5:5">
      <c r="E497" s="10" t="str">
        <f t="shared" si="15"/>
        <v/>
      </c>
    </row>
    <row r="498" spans="5:5">
      <c r="E498" s="10" t="str">
        <f t="shared" si="15"/>
        <v/>
      </c>
    </row>
    <row r="499" spans="5:5">
      <c r="E499" s="10" t="str">
        <f t="shared" si="15"/>
        <v/>
      </c>
    </row>
    <row r="500" spans="5:5">
      <c r="E500" s="10" t="str">
        <f t="shared" si="15"/>
        <v/>
      </c>
    </row>
    <row r="501" spans="5:5">
      <c r="E501" s="10" t="str">
        <f t="shared" si="15"/>
        <v/>
      </c>
    </row>
    <row r="502" spans="5:5">
      <c r="E502" s="10" t="str">
        <f t="shared" si="15"/>
        <v/>
      </c>
    </row>
    <row r="503" spans="5:5">
      <c r="E503" s="10" t="str">
        <f t="shared" si="15"/>
        <v/>
      </c>
    </row>
    <row r="504" spans="5:5">
      <c r="E504" s="10" t="str">
        <f t="shared" si="15"/>
        <v/>
      </c>
    </row>
    <row r="505" spans="5:5">
      <c r="E505" s="10" t="str">
        <f t="shared" si="15"/>
        <v/>
      </c>
    </row>
    <row r="506" spans="5:5">
      <c r="E506" s="10" t="str">
        <f t="shared" si="15"/>
        <v/>
      </c>
    </row>
    <row r="507" spans="5:5">
      <c r="E507" s="10" t="str">
        <f t="shared" si="15"/>
        <v/>
      </c>
    </row>
    <row r="508" spans="5:5">
      <c r="E508" s="10" t="str">
        <f t="shared" si="15"/>
        <v/>
      </c>
    </row>
    <row r="509" spans="5:5">
      <c r="E509" s="10" t="str">
        <f t="shared" si="15"/>
        <v/>
      </c>
    </row>
    <row r="510" spans="5:5">
      <c r="E510" s="10" t="str">
        <f t="shared" si="15"/>
        <v/>
      </c>
    </row>
    <row r="511" spans="5:5">
      <c r="E511" s="10" t="str">
        <f t="shared" si="15"/>
        <v/>
      </c>
    </row>
    <row r="512" spans="5:5">
      <c r="E512" s="10" t="str">
        <f t="shared" si="15"/>
        <v/>
      </c>
    </row>
    <row r="513" spans="5:5">
      <c r="E513" s="10" t="str">
        <f t="shared" si="15"/>
        <v/>
      </c>
    </row>
    <row r="514" spans="5:5">
      <c r="E514" s="10" t="str">
        <f t="shared" si="15"/>
        <v/>
      </c>
    </row>
    <row r="515" spans="5:5">
      <c r="E515" s="10" t="str">
        <f t="shared" si="15"/>
        <v/>
      </c>
    </row>
    <row r="516" spans="5:5">
      <c r="E516" s="10" t="str">
        <f t="shared" si="15"/>
        <v/>
      </c>
    </row>
    <row r="517" spans="5:5">
      <c r="E517" s="10" t="str">
        <f t="shared" si="15"/>
        <v/>
      </c>
    </row>
    <row r="518" spans="5:5">
      <c r="E518" s="10" t="str">
        <f t="shared" ref="E518:E581" si="16">IF(ISERROR(-PMT(,C518,B518)),"",-PMT(,C518,B518))</f>
        <v/>
      </c>
    </row>
    <row r="519" spans="5:5">
      <c r="E519" s="10" t="str">
        <f t="shared" si="16"/>
        <v/>
      </c>
    </row>
    <row r="520" spans="5:5">
      <c r="E520" s="10" t="str">
        <f t="shared" si="16"/>
        <v/>
      </c>
    </row>
    <row r="521" spans="5:5">
      <c r="E521" s="10" t="str">
        <f t="shared" si="16"/>
        <v/>
      </c>
    </row>
    <row r="522" spans="5:5">
      <c r="E522" s="10" t="str">
        <f t="shared" si="16"/>
        <v/>
      </c>
    </row>
    <row r="523" spans="5:5">
      <c r="E523" s="10" t="str">
        <f t="shared" si="16"/>
        <v/>
      </c>
    </row>
    <row r="524" spans="5:5">
      <c r="E524" s="10" t="str">
        <f t="shared" si="16"/>
        <v/>
      </c>
    </row>
    <row r="525" spans="5:5">
      <c r="E525" s="10" t="str">
        <f t="shared" si="16"/>
        <v/>
      </c>
    </row>
    <row r="526" spans="5:5">
      <c r="E526" s="10" t="str">
        <f t="shared" si="16"/>
        <v/>
      </c>
    </row>
    <row r="527" spans="5:5">
      <c r="E527" s="10" t="str">
        <f t="shared" si="16"/>
        <v/>
      </c>
    </row>
    <row r="528" spans="5:5">
      <c r="E528" s="10" t="str">
        <f t="shared" si="16"/>
        <v/>
      </c>
    </row>
    <row r="529" spans="5:5">
      <c r="E529" s="10" t="str">
        <f t="shared" si="16"/>
        <v/>
      </c>
    </row>
    <row r="530" spans="5:5">
      <c r="E530" s="10" t="str">
        <f t="shared" si="16"/>
        <v/>
      </c>
    </row>
    <row r="531" spans="5:5">
      <c r="E531" s="10" t="str">
        <f t="shared" si="16"/>
        <v/>
      </c>
    </row>
    <row r="532" spans="5:5">
      <c r="E532" s="10" t="str">
        <f t="shared" si="16"/>
        <v/>
      </c>
    </row>
    <row r="533" spans="5:5">
      <c r="E533" s="10" t="str">
        <f t="shared" si="16"/>
        <v/>
      </c>
    </row>
    <row r="534" spans="5:5">
      <c r="E534" s="10" t="str">
        <f t="shared" si="16"/>
        <v/>
      </c>
    </row>
    <row r="535" spans="5:5">
      <c r="E535" s="10" t="str">
        <f t="shared" si="16"/>
        <v/>
      </c>
    </row>
    <row r="536" spans="5:5">
      <c r="E536" s="10" t="str">
        <f t="shared" si="16"/>
        <v/>
      </c>
    </row>
    <row r="537" spans="5:5">
      <c r="E537" s="10" t="str">
        <f t="shared" si="16"/>
        <v/>
      </c>
    </row>
    <row r="538" spans="5:5">
      <c r="E538" s="10" t="str">
        <f t="shared" si="16"/>
        <v/>
      </c>
    </row>
    <row r="539" spans="5:5">
      <c r="E539" s="10" t="str">
        <f t="shared" si="16"/>
        <v/>
      </c>
    </row>
    <row r="540" spans="5:5">
      <c r="E540" s="10" t="str">
        <f t="shared" si="16"/>
        <v/>
      </c>
    </row>
    <row r="541" spans="5:5">
      <c r="E541" s="10" t="str">
        <f t="shared" si="16"/>
        <v/>
      </c>
    </row>
    <row r="542" spans="5:5">
      <c r="E542" s="10" t="str">
        <f t="shared" si="16"/>
        <v/>
      </c>
    </row>
    <row r="543" spans="5:5">
      <c r="E543" s="10" t="str">
        <f t="shared" si="16"/>
        <v/>
      </c>
    </row>
    <row r="544" spans="5:5">
      <c r="E544" s="10" t="str">
        <f t="shared" si="16"/>
        <v/>
      </c>
    </row>
    <row r="545" spans="5:5">
      <c r="E545" s="10" t="str">
        <f t="shared" si="16"/>
        <v/>
      </c>
    </row>
    <row r="546" spans="5:5">
      <c r="E546" s="10" t="str">
        <f t="shared" si="16"/>
        <v/>
      </c>
    </row>
    <row r="547" spans="5:5">
      <c r="E547" s="10" t="str">
        <f t="shared" si="16"/>
        <v/>
      </c>
    </row>
    <row r="548" spans="5:5">
      <c r="E548" s="10" t="str">
        <f t="shared" si="16"/>
        <v/>
      </c>
    </row>
    <row r="549" spans="5:5">
      <c r="E549" s="10" t="str">
        <f t="shared" si="16"/>
        <v/>
      </c>
    </row>
    <row r="550" spans="5:5">
      <c r="E550" s="10" t="str">
        <f t="shared" si="16"/>
        <v/>
      </c>
    </row>
    <row r="551" spans="5:5">
      <c r="E551" s="10" t="str">
        <f t="shared" si="16"/>
        <v/>
      </c>
    </row>
    <row r="552" spans="5:5">
      <c r="E552" s="10" t="str">
        <f t="shared" si="16"/>
        <v/>
      </c>
    </row>
    <row r="553" spans="5:5">
      <c r="E553" s="10" t="str">
        <f t="shared" si="16"/>
        <v/>
      </c>
    </row>
    <row r="554" spans="5:5">
      <c r="E554" s="10" t="str">
        <f t="shared" si="16"/>
        <v/>
      </c>
    </row>
    <row r="555" spans="5:5">
      <c r="E555" s="10" t="str">
        <f t="shared" si="16"/>
        <v/>
      </c>
    </row>
    <row r="556" spans="5:5">
      <c r="E556" s="10" t="str">
        <f t="shared" si="16"/>
        <v/>
      </c>
    </row>
    <row r="557" spans="5:5">
      <c r="E557" s="10" t="str">
        <f t="shared" si="16"/>
        <v/>
      </c>
    </row>
    <row r="558" spans="5:5">
      <c r="E558" s="10" t="str">
        <f t="shared" si="16"/>
        <v/>
      </c>
    </row>
    <row r="559" spans="5:5">
      <c r="E559" s="10" t="str">
        <f t="shared" si="16"/>
        <v/>
      </c>
    </row>
    <row r="560" spans="5:5">
      <c r="E560" s="10" t="str">
        <f t="shared" si="16"/>
        <v/>
      </c>
    </row>
    <row r="561" spans="5:5">
      <c r="E561" s="10" t="str">
        <f t="shared" si="16"/>
        <v/>
      </c>
    </row>
    <row r="562" spans="5:5">
      <c r="E562" s="10" t="str">
        <f t="shared" si="16"/>
        <v/>
      </c>
    </row>
    <row r="563" spans="5:5">
      <c r="E563" s="10" t="str">
        <f t="shared" si="16"/>
        <v/>
      </c>
    </row>
    <row r="564" spans="5:5">
      <c r="E564" s="10" t="str">
        <f t="shared" si="16"/>
        <v/>
      </c>
    </row>
    <row r="565" spans="5:5">
      <c r="E565" s="10" t="str">
        <f t="shared" si="16"/>
        <v/>
      </c>
    </row>
    <row r="566" spans="5:5">
      <c r="E566" s="10" t="str">
        <f t="shared" si="16"/>
        <v/>
      </c>
    </row>
    <row r="567" spans="5:5">
      <c r="E567" s="10" t="str">
        <f t="shared" si="16"/>
        <v/>
      </c>
    </row>
    <row r="568" spans="5:5">
      <c r="E568" s="10" t="str">
        <f t="shared" si="16"/>
        <v/>
      </c>
    </row>
    <row r="569" spans="5:5">
      <c r="E569" s="10" t="str">
        <f t="shared" si="16"/>
        <v/>
      </c>
    </row>
    <row r="570" spans="5:5">
      <c r="E570" s="10" t="str">
        <f t="shared" si="16"/>
        <v/>
      </c>
    </row>
    <row r="571" spans="5:5">
      <c r="E571" s="10" t="str">
        <f t="shared" si="16"/>
        <v/>
      </c>
    </row>
    <row r="572" spans="5:5">
      <c r="E572" s="10" t="str">
        <f t="shared" si="16"/>
        <v/>
      </c>
    </row>
    <row r="573" spans="5:5">
      <c r="E573" s="10" t="str">
        <f t="shared" si="16"/>
        <v/>
      </c>
    </row>
    <row r="574" spans="5:5">
      <c r="E574" s="10" t="str">
        <f t="shared" si="16"/>
        <v/>
      </c>
    </row>
    <row r="575" spans="5:5">
      <c r="E575" s="10" t="str">
        <f t="shared" si="16"/>
        <v/>
      </c>
    </row>
    <row r="576" spans="5:5">
      <c r="E576" s="10" t="str">
        <f t="shared" si="16"/>
        <v/>
      </c>
    </row>
    <row r="577" spans="5:5">
      <c r="E577" s="10" t="str">
        <f t="shared" si="16"/>
        <v/>
      </c>
    </row>
    <row r="578" spans="5:5">
      <c r="E578" s="10" t="str">
        <f t="shared" si="16"/>
        <v/>
      </c>
    </row>
    <row r="579" spans="5:5">
      <c r="E579" s="10" t="str">
        <f t="shared" si="16"/>
        <v/>
      </c>
    </row>
    <row r="580" spans="5:5">
      <c r="E580" s="10" t="str">
        <f t="shared" si="16"/>
        <v/>
      </c>
    </row>
    <row r="581" spans="5:5">
      <c r="E581" s="10" t="str">
        <f t="shared" si="16"/>
        <v/>
      </c>
    </row>
    <row r="582" spans="5:5">
      <c r="E582" s="10" t="str">
        <f t="shared" ref="E582:E645" si="17">IF(ISERROR(-PMT(,C582,B582)),"",-PMT(,C582,B582))</f>
        <v/>
      </c>
    </row>
    <row r="583" spans="5:5">
      <c r="E583" s="10" t="str">
        <f t="shared" si="17"/>
        <v/>
      </c>
    </row>
    <row r="584" spans="5:5">
      <c r="E584" s="10" t="str">
        <f t="shared" si="17"/>
        <v/>
      </c>
    </row>
    <row r="585" spans="5:5">
      <c r="E585" s="10" t="str">
        <f t="shared" si="17"/>
        <v/>
      </c>
    </row>
    <row r="586" spans="5:5">
      <c r="E586" s="10" t="str">
        <f t="shared" si="17"/>
        <v/>
      </c>
    </row>
    <row r="587" spans="5:5">
      <c r="E587" s="10" t="str">
        <f t="shared" si="17"/>
        <v/>
      </c>
    </row>
    <row r="588" spans="5:5">
      <c r="E588" s="10" t="str">
        <f t="shared" si="17"/>
        <v/>
      </c>
    </row>
    <row r="589" spans="5:5">
      <c r="E589" s="10" t="str">
        <f t="shared" si="17"/>
        <v/>
      </c>
    </row>
    <row r="590" spans="5:5">
      <c r="E590" s="10" t="str">
        <f t="shared" si="17"/>
        <v/>
      </c>
    </row>
    <row r="591" spans="5:5">
      <c r="E591" s="10" t="str">
        <f t="shared" si="17"/>
        <v/>
      </c>
    </row>
    <row r="592" spans="5:5">
      <c r="E592" s="10" t="str">
        <f t="shared" si="17"/>
        <v/>
      </c>
    </row>
    <row r="593" spans="5:5">
      <c r="E593" s="10" t="str">
        <f t="shared" si="17"/>
        <v/>
      </c>
    </row>
    <row r="594" spans="5:5">
      <c r="E594" s="10" t="str">
        <f t="shared" si="17"/>
        <v/>
      </c>
    </row>
    <row r="595" spans="5:5">
      <c r="E595" s="10" t="str">
        <f t="shared" si="17"/>
        <v/>
      </c>
    </row>
    <row r="596" spans="5:5">
      <c r="E596" s="10" t="str">
        <f t="shared" si="17"/>
        <v/>
      </c>
    </row>
    <row r="597" spans="5:5">
      <c r="E597" s="10" t="str">
        <f t="shared" si="17"/>
        <v/>
      </c>
    </row>
    <row r="598" spans="5:5">
      <c r="E598" s="10" t="str">
        <f t="shared" si="17"/>
        <v/>
      </c>
    </row>
    <row r="599" spans="5:5">
      <c r="E599" s="10" t="str">
        <f t="shared" si="17"/>
        <v/>
      </c>
    </row>
    <row r="600" spans="5:5">
      <c r="E600" s="10" t="str">
        <f t="shared" si="17"/>
        <v/>
      </c>
    </row>
    <row r="601" spans="5:5">
      <c r="E601" s="10" t="str">
        <f t="shared" si="17"/>
        <v/>
      </c>
    </row>
    <row r="602" spans="5:5">
      <c r="E602" s="10" t="str">
        <f t="shared" si="17"/>
        <v/>
      </c>
    </row>
    <row r="603" spans="5:5">
      <c r="E603" s="10" t="str">
        <f t="shared" si="17"/>
        <v/>
      </c>
    </row>
    <row r="604" spans="5:5">
      <c r="E604" s="10" t="str">
        <f t="shared" si="17"/>
        <v/>
      </c>
    </row>
    <row r="605" spans="5:5">
      <c r="E605" s="10" t="str">
        <f t="shared" si="17"/>
        <v/>
      </c>
    </row>
    <row r="606" spans="5:5">
      <c r="E606" s="10" t="str">
        <f t="shared" si="17"/>
        <v/>
      </c>
    </row>
    <row r="607" spans="5:5">
      <c r="E607" s="10" t="str">
        <f t="shared" si="17"/>
        <v/>
      </c>
    </row>
    <row r="608" spans="5:5">
      <c r="E608" s="10" t="str">
        <f t="shared" si="17"/>
        <v/>
      </c>
    </row>
    <row r="609" spans="5:5">
      <c r="E609" s="10" t="str">
        <f t="shared" si="17"/>
        <v/>
      </c>
    </row>
    <row r="610" spans="5:5">
      <c r="E610" s="10" t="str">
        <f t="shared" si="17"/>
        <v/>
      </c>
    </row>
    <row r="611" spans="5:5">
      <c r="E611" s="10" t="str">
        <f t="shared" si="17"/>
        <v/>
      </c>
    </row>
    <row r="612" spans="5:5">
      <c r="E612" s="10" t="str">
        <f t="shared" si="17"/>
        <v/>
      </c>
    </row>
    <row r="613" spans="5:5">
      <c r="E613" s="10" t="str">
        <f t="shared" si="17"/>
        <v/>
      </c>
    </row>
    <row r="614" spans="5:5">
      <c r="E614" s="10" t="str">
        <f t="shared" si="17"/>
        <v/>
      </c>
    </row>
    <row r="615" spans="5:5">
      <c r="E615" s="10" t="str">
        <f t="shared" si="17"/>
        <v/>
      </c>
    </row>
    <row r="616" spans="5:5">
      <c r="E616" s="10" t="str">
        <f t="shared" si="17"/>
        <v/>
      </c>
    </row>
    <row r="617" spans="5:5">
      <c r="E617" s="10" t="str">
        <f t="shared" si="17"/>
        <v/>
      </c>
    </row>
    <row r="618" spans="5:5">
      <c r="E618" s="10" t="str">
        <f t="shared" si="17"/>
        <v/>
      </c>
    </row>
    <row r="619" spans="5:5">
      <c r="E619" s="10" t="str">
        <f t="shared" si="17"/>
        <v/>
      </c>
    </row>
    <row r="620" spans="5:5">
      <c r="E620" s="10" t="str">
        <f t="shared" si="17"/>
        <v/>
      </c>
    </row>
    <row r="621" spans="5:5">
      <c r="E621" s="10" t="str">
        <f t="shared" si="17"/>
        <v/>
      </c>
    </row>
    <row r="622" spans="5:5">
      <c r="E622" s="10" t="str">
        <f t="shared" si="17"/>
        <v/>
      </c>
    </row>
    <row r="623" spans="5:5">
      <c r="E623" s="10" t="str">
        <f t="shared" si="17"/>
        <v/>
      </c>
    </row>
    <row r="624" spans="5:5">
      <c r="E624" s="10" t="str">
        <f t="shared" si="17"/>
        <v/>
      </c>
    </row>
    <row r="625" spans="5:5">
      <c r="E625" s="10" t="str">
        <f t="shared" si="17"/>
        <v/>
      </c>
    </row>
    <row r="626" spans="5:5">
      <c r="E626" s="10" t="str">
        <f t="shared" si="17"/>
        <v/>
      </c>
    </row>
    <row r="627" spans="5:5">
      <c r="E627" s="10" t="str">
        <f t="shared" si="17"/>
        <v/>
      </c>
    </row>
    <row r="628" spans="5:5">
      <c r="E628" s="10" t="str">
        <f t="shared" si="17"/>
        <v/>
      </c>
    </row>
    <row r="629" spans="5:5">
      <c r="E629" s="10" t="str">
        <f t="shared" si="17"/>
        <v/>
      </c>
    </row>
    <row r="630" spans="5:5">
      <c r="E630" s="10" t="str">
        <f t="shared" si="17"/>
        <v/>
      </c>
    </row>
    <row r="631" spans="5:5">
      <c r="E631" s="10" t="str">
        <f t="shared" si="17"/>
        <v/>
      </c>
    </row>
    <row r="632" spans="5:5">
      <c r="E632" s="10" t="str">
        <f t="shared" si="17"/>
        <v/>
      </c>
    </row>
    <row r="633" spans="5:5">
      <c r="E633" s="10" t="str">
        <f t="shared" si="17"/>
        <v/>
      </c>
    </row>
    <row r="634" spans="5:5">
      <c r="E634" s="10" t="str">
        <f t="shared" si="17"/>
        <v/>
      </c>
    </row>
    <row r="635" spans="5:5">
      <c r="E635" s="10" t="str">
        <f t="shared" si="17"/>
        <v/>
      </c>
    </row>
    <row r="636" spans="5:5">
      <c r="E636" s="10" t="str">
        <f t="shared" si="17"/>
        <v/>
      </c>
    </row>
    <row r="637" spans="5:5">
      <c r="E637" s="10" t="str">
        <f t="shared" si="17"/>
        <v/>
      </c>
    </row>
    <row r="638" spans="5:5">
      <c r="E638" s="10" t="str">
        <f t="shared" si="17"/>
        <v/>
      </c>
    </row>
    <row r="639" spans="5:5">
      <c r="E639" s="10" t="str">
        <f t="shared" si="17"/>
        <v/>
      </c>
    </row>
    <row r="640" spans="5:5">
      <c r="E640" s="10" t="str">
        <f t="shared" si="17"/>
        <v/>
      </c>
    </row>
    <row r="641" spans="5:5">
      <c r="E641" s="10" t="str">
        <f t="shared" si="17"/>
        <v/>
      </c>
    </row>
    <row r="642" spans="5:5">
      <c r="E642" s="10" t="str">
        <f t="shared" si="17"/>
        <v/>
      </c>
    </row>
    <row r="643" spans="5:5">
      <c r="E643" s="10" t="str">
        <f t="shared" si="17"/>
        <v/>
      </c>
    </row>
    <row r="644" spans="5:5">
      <c r="E644" s="10" t="str">
        <f t="shared" si="17"/>
        <v/>
      </c>
    </row>
    <row r="645" spans="5:5">
      <c r="E645" s="10" t="str">
        <f t="shared" si="17"/>
        <v/>
      </c>
    </row>
    <row r="646" spans="5:5">
      <c r="E646" s="10" t="str">
        <f t="shared" ref="E646:E709" si="18">IF(ISERROR(-PMT(,C646,B646)),"",-PMT(,C646,B646))</f>
        <v/>
      </c>
    </row>
    <row r="647" spans="5:5">
      <c r="E647" s="10" t="str">
        <f t="shared" si="18"/>
        <v/>
      </c>
    </row>
    <row r="648" spans="5:5">
      <c r="E648" s="10" t="str">
        <f t="shared" si="18"/>
        <v/>
      </c>
    </row>
    <row r="649" spans="5:5">
      <c r="E649" s="10" t="str">
        <f t="shared" si="18"/>
        <v/>
      </c>
    </row>
    <row r="650" spans="5:5">
      <c r="E650" s="10" t="str">
        <f t="shared" si="18"/>
        <v/>
      </c>
    </row>
    <row r="651" spans="5:5">
      <c r="E651" s="10" t="str">
        <f t="shared" si="18"/>
        <v/>
      </c>
    </row>
    <row r="652" spans="5:5">
      <c r="E652" s="10" t="str">
        <f t="shared" si="18"/>
        <v/>
      </c>
    </row>
    <row r="653" spans="5:5">
      <c r="E653" s="10" t="str">
        <f t="shared" si="18"/>
        <v/>
      </c>
    </row>
    <row r="654" spans="5:5">
      <c r="E654" s="10" t="str">
        <f t="shared" si="18"/>
        <v/>
      </c>
    </row>
    <row r="655" spans="5:5">
      <c r="E655" s="10" t="str">
        <f t="shared" si="18"/>
        <v/>
      </c>
    </row>
    <row r="656" spans="5:5">
      <c r="E656" s="10" t="str">
        <f t="shared" si="18"/>
        <v/>
      </c>
    </row>
    <row r="657" spans="5:5">
      <c r="E657" s="10" t="str">
        <f t="shared" si="18"/>
        <v/>
      </c>
    </row>
    <row r="658" spans="5:5">
      <c r="E658" s="10" t="str">
        <f t="shared" si="18"/>
        <v/>
      </c>
    </row>
    <row r="659" spans="5:5">
      <c r="E659" s="10" t="str">
        <f t="shared" si="18"/>
        <v/>
      </c>
    </row>
    <row r="660" spans="5:5">
      <c r="E660" s="10" t="str">
        <f t="shared" si="18"/>
        <v/>
      </c>
    </row>
    <row r="661" spans="5:5">
      <c r="E661" s="10" t="str">
        <f t="shared" si="18"/>
        <v/>
      </c>
    </row>
    <row r="662" spans="5:5">
      <c r="E662" s="10" t="str">
        <f t="shared" si="18"/>
        <v/>
      </c>
    </row>
    <row r="663" spans="5:5">
      <c r="E663" s="10" t="str">
        <f t="shared" si="18"/>
        <v/>
      </c>
    </row>
    <row r="664" spans="5:5">
      <c r="E664" s="10" t="str">
        <f t="shared" si="18"/>
        <v/>
      </c>
    </row>
    <row r="665" spans="5:5">
      <c r="E665" s="10" t="str">
        <f t="shared" si="18"/>
        <v/>
      </c>
    </row>
    <row r="666" spans="5:5">
      <c r="E666" s="10" t="str">
        <f t="shared" si="18"/>
        <v/>
      </c>
    </row>
    <row r="667" spans="5:5">
      <c r="E667" s="10" t="str">
        <f t="shared" si="18"/>
        <v/>
      </c>
    </row>
    <row r="668" spans="5:5">
      <c r="E668" s="10" t="str">
        <f t="shared" si="18"/>
        <v/>
      </c>
    </row>
    <row r="669" spans="5:5">
      <c r="E669" s="10" t="str">
        <f t="shared" si="18"/>
        <v/>
      </c>
    </row>
    <row r="670" spans="5:5">
      <c r="E670" s="10" t="str">
        <f t="shared" si="18"/>
        <v/>
      </c>
    </row>
    <row r="671" spans="5:5">
      <c r="E671" s="10" t="str">
        <f t="shared" si="18"/>
        <v/>
      </c>
    </row>
    <row r="672" spans="5:5">
      <c r="E672" s="10" t="str">
        <f t="shared" si="18"/>
        <v/>
      </c>
    </row>
    <row r="673" spans="5:5">
      <c r="E673" s="10" t="str">
        <f t="shared" si="18"/>
        <v/>
      </c>
    </row>
    <row r="674" spans="5:5">
      <c r="E674" s="10" t="str">
        <f t="shared" si="18"/>
        <v/>
      </c>
    </row>
    <row r="675" spans="5:5">
      <c r="E675" s="10" t="str">
        <f t="shared" si="18"/>
        <v/>
      </c>
    </row>
    <row r="676" spans="5:5">
      <c r="E676" s="10" t="str">
        <f t="shared" si="18"/>
        <v/>
      </c>
    </row>
    <row r="677" spans="5:5">
      <c r="E677" s="10" t="str">
        <f t="shared" si="18"/>
        <v/>
      </c>
    </row>
    <row r="678" spans="5:5">
      <c r="E678" s="10" t="str">
        <f t="shared" si="18"/>
        <v/>
      </c>
    </row>
    <row r="679" spans="5:5">
      <c r="E679" s="10" t="str">
        <f t="shared" si="18"/>
        <v/>
      </c>
    </row>
    <row r="680" spans="5:5">
      <c r="E680" s="10" t="str">
        <f t="shared" si="18"/>
        <v/>
      </c>
    </row>
    <row r="681" spans="5:5">
      <c r="E681" s="10" t="str">
        <f t="shared" si="18"/>
        <v/>
      </c>
    </row>
    <row r="682" spans="5:5">
      <c r="E682" s="10" t="str">
        <f t="shared" si="18"/>
        <v/>
      </c>
    </row>
    <row r="683" spans="5:5">
      <c r="E683" s="10" t="str">
        <f t="shared" si="18"/>
        <v/>
      </c>
    </row>
    <row r="684" spans="5:5">
      <c r="E684" s="10" t="str">
        <f t="shared" si="18"/>
        <v/>
      </c>
    </row>
    <row r="685" spans="5:5">
      <c r="E685" s="10" t="str">
        <f t="shared" si="18"/>
        <v/>
      </c>
    </row>
    <row r="686" spans="5:5">
      <c r="E686" s="10" t="str">
        <f t="shared" si="18"/>
        <v/>
      </c>
    </row>
    <row r="687" spans="5:5">
      <c r="E687" s="10" t="str">
        <f t="shared" si="18"/>
        <v/>
      </c>
    </row>
    <row r="688" spans="5:5">
      <c r="E688" s="10" t="str">
        <f t="shared" si="18"/>
        <v/>
      </c>
    </row>
    <row r="689" spans="5:5">
      <c r="E689" s="10" t="str">
        <f t="shared" si="18"/>
        <v/>
      </c>
    </row>
    <row r="690" spans="5:5">
      <c r="E690" s="10" t="str">
        <f t="shared" si="18"/>
        <v/>
      </c>
    </row>
    <row r="691" spans="5:5">
      <c r="E691" s="10" t="str">
        <f t="shared" si="18"/>
        <v/>
      </c>
    </row>
    <row r="692" spans="5:5">
      <c r="E692" s="10" t="str">
        <f t="shared" si="18"/>
        <v/>
      </c>
    </row>
    <row r="693" spans="5:5">
      <c r="E693" s="10" t="str">
        <f t="shared" si="18"/>
        <v/>
      </c>
    </row>
    <row r="694" spans="5:5">
      <c r="E694" s="10" t="str">
        <f t="shared" si="18"/>
        <v/>
      </c>
    </row>
    <row r="695" spans="5:5">
      <c r="E695" s="10" t="str">
        <f t="shared" si="18"/>
        <v/>
      </c>
    </row>
    <row r="696" spans="5:5">
      <c r="E696" s="10" t="str">
        <f t="shared" si="18"/>
        <v/>
      </c>
    </row>
    <row r="697" spans="5:5">
      <c r="E697" s="10" t="str">
        <f t="shared" si="18"/>
        <v/>
      </c>
    </row>
    <row r="698" spans="5:5">
      <c r="E698" s="10" t="str">
        <f t="shared" si="18"/>
        <v/>
      </c>
    </row>
    <row r="699" spans="5:5">
      <c r="E699" s="10" t="str">
        <f t="shared" si="18"/>
        <v/>
      </c>
    </row>
    <row r="700" spans="5:5">
      <c r="E700" s="10" t="str">
        <f t="shared" si="18"/>
        <v/>
      </c>
    </row>
    <row r="701" spans="5:5">
      <c r="E701" s="10" t="str">
        <f t="shared" si="18"/>
        <v/>
      </c>
    </row>
    <row r="702" spans="5:5">
      <c r="E702" s="10" t="str">
        <f t="shared" si="18"/>
        <v/>
      </c>
    </row>
    <row r="703" spans="5:5">
      <c r="E703" s="10" t="str">
        <f t="shared" si="18"/>
        <v/>
      </c>
    </row>
    <row r="704" spans="5:5">
      <c r="E704" s="10" t="str">
        <f t="shared" si="18"/>
        <v/>
      </c>
    </row>
    <row r="705" spans="5:5">
      <c r="E705" s="10" t="str">
        <f t="shared" si="18"/>
        <v/>
      </c>
    </row>
    <row r="706" spans="5:5">
      <c r="E706" s="10" t="str">
        <f t="shared" si="18"/>
        <v/>
      </c>
    </row>
    <row r="707" spans="5:5">
      <c r="E707" s="10" t="str">
        <f t="shared" si="18"/>
        <v/>
      </c>
    </row>
    <row r="708" spans="5:5">
      <c r="E708" s="10" t="str">
        <f t="shared" si="18"/>
        <v/>
      </c>
    </row>
    <row r="709" spans="5:5">
      <c r="E709" s="10" t="str">
        <f t="shared" si="18"/>
        <v/>
      </c>
    </row>
    <row r="710" spans="5:5">
      <c r="E710" s="10" t="str">
        <f t="shared" ref="E710:E736" si="19">IF(ISERROR(-PMT(,C710,B710)),"",-PMT(,C710,B710))</f>
        <v/>
      </c>
    </row>
    <row r="711" spans="5:5">
      <c r="E711" s="10" t="str">
        <f t="shared" si="19"/>
        <v/>
      </c>
    </row>
    <row r="712" spans="5:5">
      <c r="E712" s="10" t="str">
        <f t="shared" si="19"/>
        <v/>
      </c>
    </row>
    <row r="713" spans="5:5">
      <c r="E713" s="10" t="str">
        <f t="shared" si="19"/>
        <v/>
      </c>
    </row>
    <row r="714" spans="5:5">
      <c r="E714" s="10" t="str">
        <f t="shared" si="19"/>
        <v/>
      </c>
    </row>
    <row r="715" spans="5:5">
      <c r="E715" s="10" t="str">
        <f t="shared" si="19"/>
        <v/>
      </c>
    </row>
    <row r="716" spans="5:5">
      <c r="E716" s="10" t="str">
        <f t="shared" si="19"/>
        <v/>
      </c>
    </row>
    <row r="717" spans="5:5">
      <c r="E717" s="10" t="str">
        <f t="shared" si="19"/>
        <v/>
      </c>
    </row>
    <row r="718" spans="5:5">
      <c r="E718" s="10" t="str">
        <f t="shared" si="19"/>
        <v/>
      </c>
    </row>
    <row r="719" spans="5:5">
      <c r="E719" s="10" t="str">
        <f t="shared" si="19"/>
        <v/>
      </c>
    </row>
    <row r="720" spans="5:5">
      <c r="E720" s="10" t="str">
        <f t="shared" si="19"/>
        <v/>
      </c>
    </row>
    <row r="721" spans="5:5">
      <c r="E721" s="10" t="str">
        <f t="shared" si="19"/>
        <v/>
      </c>
    </row>
    <row r="722" spans="5:5">
      <c r="E722" s="10" t="str">
        <f t="shared" si="19"/>
        <v/>
      </c>
    </row>
    <row r="723" spans="5:5">
      <c r="E723" s="10" t="str">
        <f t="shared" si="19"/>
        <v/>
      </c>
    </row>
    <row r="724" spans="5:5">
      <c r="E724" s="10" t="str">
        <f t="shared" si="19"/>
        <v/>
      </c>
    </row>
    <row r="725" spans="5:5">
      <c r="E725" s="10" t="str">
        <f t="shared" si="19"/>
        <v/>
      </c>
    </row>
    <row r="726" spans="5:5">
      <c r="E726" s="10" t="str">
        <f t="shared" si="19"/>
        <v/>
      </c>
    </row>
    <row r="727" spans="5:5">
      <c r="E727" s="10" t="str">
        <f t="shared" si="19"/>
        <v/>
      </c>
    </row>
    <row r="728" spans="5:5">
      <c r="E728" s="10" t="str">
        <f t="shared" si="19"/>
        <v/>
      </c>
    </row>
    <row r="729" spans="5:5">
      <c r="E729" s="10" t="str">
        <f t="shared" si="19"/>
        <v/>
      </c>
    </row>
    <row r="730" spans="5:5">
      <c r="E730" s="10" t="str">
        <f t="shared" si="19"/>
        <v/>
      </c>
    </row>
    <row r="731" spans="5:5">
      <c r="E731" s="10" t="str">
        <f t="shared" si="19"/>
        <v/>
      </c>
    </row>
    <row r="732" spans="5:5">
      <c r="E732" s="10" t="str">
        <f t="shared" si="19"/>
        <v/>
      </c>
    </row>
    <row r="733" spans="5:5">
      <c r="E733" s="10" t="str">
        <f t="shared" si="19"/>
        <v/>
      </c>
    </row>
    <row r="734" spans="5:5">
      <c r="E734" s="10" t="str">
        <f t="shared" si="19"/>
        <v/>
      </c>
    </row>
    <row r="735" spans="5:5">
      <c r="E735" s="10" t="str">
        <f t="shared" si="19"/>
        <v/>
      </c>
    </row>
    <row r="736" spans="5:5">
      <c r="E736" s="10" t="str">
        <f t="shared" si="19"/>
        <v/>
      </c>
    </row>
  </sheetData>
  <sheetProtection algorithmName="SHA-512" hashValue="ZVUp0v1Nq8ypnt0luMiIUV5yxu5+t9sBq6FkpcRjhzlT9DR5v2c3gBLxTCgEAXbGuq1hU56E0rTdU83kctWNbw==" saltValue="bsODgWOD7/srfVB/BJWDSg==" spinCount="100000" sheet="1" objects="1" scenario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cleardataspc">
                <anchor moveWithCells="1" sizeWithCells="1">
                  <from>
                    <xdr:col>4</xdr:col>
                    <xdr:colOff>831850</xdr:colOff>
                    <xdr:row>0</xdr:row>
                    <xdr:rowOff>171450</xdr:rowOff>
                  </from>
                  <to>
                    <xdr:col>5</xdr:col>
                    <xdr:colOff>723900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5" name="Button 6">
              <controlPr defaultSize="0" print="0" autoFill="0" autoPict="0" macro="[0]!spcRead">
                <anchor moveWithCells="1" sizeWithCells="1">
                  <from>
                    <xdr:col>0</xdr:col>
                    <xdr:colOff>139700</xdr:colOff>
                    <xdr:row>0</xdr:row>
                    <xdr:rowOff>107950</xdr:rowOff>
                  </from>
                  <to>
                    <xdr:col>0</xdr:col>
                    <xdr:colOff>1924050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D650D-EAEB-4A2D-A13E-EB192D15F8BB}">
  <sheetPr codeName="Sheet8">
    <tabColor theme="7" tint="0.39997558519241921"/>
  </sheetPr>
  <dimension ref="A1:C35"/>
  <sheetViews>
    <sheetView workbookViewId="0">
      <selection activeCell="B18" sqref="B18"/>
    </sheetView>
  </sheetViews>
  <sheetFormatPr defaultRowHeight="14.45"/>
  <cols>
    <col min="1" max="1" width="62.5703125" customWidth="1"/>
    <col min="2" max="2" width="32.5703125" style="42" bestFit="1" customWidth="1"/>
    <col min="3" max="3" width="37.85546875" bestFit="1" customWidth="1"/>
    <col min="4" max="4" width="11.140625" bestFit="1" customWidth="1"/>
  </cols>
  <sheetData>
    <row r="1" spans="1:3" ht="46.5">
      <c r="A1" s="67" t="s">
        <v>86</v>
      </c>
      <c r="B1" s="67"/>
      <c r="C1" s="67"/>
    </row>
    <row r="2" spans="1:3" ht="18.600000000000001">
      <c r="A2" s="36" t="s">
        <v>87</v>
      </c>
      <c r="B2" s="40" t="s">
        <v>88</v>
      </c>
      <c r="C2" s="36" t="s">
        <v>89</v>
      </c>
    </row>
    <row r="3" spans="1:3">
      <c r="A3" s="1" t="s">
        <v>90</v>
      </c>
      <c r="B3" s="41">
        <v>44348</v>
      </c>
      <c r="C3" t="s">
        <v>91</v>
      </c>
    </row>
    <row r="4" spans="1:3">
      <c r="A4" s="1" t="s">
        <v>92</v>
      </c>
      <c r="B4" s="41">
        <v>44542</v>
      </c>
      <c r="C4" t="s">
        <v>91</v>
      </c>
    </row>
    <row r="5" spans="1:3">
      <c r="A5" s="1"/>
      <c r="B5" s="41"/>
    </row>
    <row r="6" spans="1:3">
      <c r="A6" s="1"/>
      <c r="B6" s="41"/>
    </row>
    <row r="7" spans="1:3">
      <c r="A7" s="1"/>
      <c r="B7" s="41"/>
    </row>
    <row r="8" spans="1:3" ht="15.6">
      <c r="A8" s="1"/>
      <c r="B8" s="41"/>
      <c r="C8" s="37"/>
    </row>
    <row r="9" spans="1:3">
      <c r="A9" s="1"/>
      <c r="B9" s="41"/>
    </row>
    <row r="10" spans="1:3">
      <c r="A10" s="1"/>
      <c r="B10" s="41"/>
    </row>
    <row r="11" spans="1:3">
      <c r="A11" s="1"/>
      <c r="B11" s="41"/>
    </row>
    <row r="12" spans="1:3">
      <c r="A12" s="1"/>
      <c r="B12" s="41"/>
    </row>
    <row r="13" spans="1:3">
      <c r="A13" s="1"/>
      <c r="B13" s="41"/>
    </row>
    <row r="14" spans="1:3">
      <c r="A14" s="1"/>
    </row>
    <row r="15" spans="1:3">
      <c r="A15" s="1"/>
    </row>
    <row r="16" spans="1:3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</sheetData>
  <mergeCells count="1">
    <mergeCell ref="A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learExpensesIncomes">
                <anchor moveWithCells="1" sizeWithCells="1">
                  <from>
                    <xdr:col>3</xdr:col>
                    <xdr:colOff>355600</xdr:colOff>
                    <xdr:row>8</xdr:row>
                    <xdr:rowOff>38100</xdr:rowOff>
                  </from>
                  <to>
                    <xdr:col>5</xdr:col>
                    <xdr:colOff>457200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AddGoal">
                <anchor moveWithCells="1" sizeWithCells="1">
                  <from>
                    <xdr:col>3</xdr:col>
                    <xdr:colOff>349250</xdr:colOff>
                    <xdr:row>4</xdr:row>
                    <xdr:rowOff>12700</xdr:rowOff>
                  </from>
                  <to>
                    <xdr:col>5</xdr:col>
                    <xdr:colOff>463550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>
    <tabColor theme="7" tint="0.39997558519241921"/>
  </sheetPr>
  <dimension ref="A1:R7"/>
  <sheetViews>
    <sheetView workbookViewId="0">
      <selection activeCell="H17" sqref="H17"/>
    </sheetView>
  </sheetViews>
  <sheetFormatPr defaultRowHeight="14.45"/>
  <cols>
    <col min="1" max="1" width="15.42578125" bestFit="1" customWidth="1"/>
    <col min="8" max="8" width="33.5703125" bestFit="1" customWidth="1"/>
    <col min="9" max="9" width="35.140625" customWidth="1"/>
  </cols>
  <sheetData>
    <row r="1" spans="1:18" ht="46.5">
      <c r="A1" s="67" t="s">
        <v>93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7" spans="1:18" ht="46.5">
      <c r="H7" s="63"/>
      <c r="I7" s="64"/>
      <c r="J7" s="64"/>
      <c r="K7" s="64"/>
      <c r="L7" s="64"/>
      <c r="M7" s="64"/>
      <c r="N7" s="64"/>
      <c r="O7" s="64"/>
      <c r="P7" s="64"/>
      <c r="Q7" s="64"/>
      <c r="R7" s="64"/>
    </row>
  </sheetData>
  <mergeCells count="1">
    <mergeCell ref="A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6</xdr:col>
                    <xdr:colOff>273050</xdr:colOff>
                    <xdr:row>3</xdr:row>
                    <xdr:rowOff>38100</xdr:rowOff>
                  </from>
                  <to>
                    <xdr:col>7</xdr:col>
                    <xdr:colOff>1384300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4FF01B6E691B418AC7A3AA007394EC" ma:contentTypeVersion="13" ma:contentTypeDescription="Create a new document." ma:contentTypeScope="" ma:versionID="6f7e1b88dcf655d177126d8b911c620b">
  <xsd:schema xmlns:xsd="http://www.w3.org/2001/XMLSchema" xmlns:xs="http://www.w3.org/2001/XMLSchema" xmlns:p="http://schemas.microsoft.com/office/2006/metadata/properties" xmlns:ns3="c1e77170-3c0a-491c-a033-5a7c184eabd7" xmlns:ns4="2c8f43ef-8ea4-412d-9c18-5388ad596486" targetNamespace="http://schemas.microsoft.com/office/2006/metadata/properties" ma:root="true" ma:fieldsID="690ddb187cd50fc4aeb7b4306c6059fe" ns3:_="" ns4:_="">
    <xsd:import namespace="c1e77170-3c0a-491c-a033-5a7c184eabd7"/>
    <xsd:import namespace="2c8f43ef-8ea4-412d-9c18-5388ad59648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e77170-3c0a-491c-a033-5a7c184eab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f43ef-8ea4-412d-9c18-5388ad59648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5BF1E7-AB1F-4F81-A675-581015BCADBC}"/>
</file>

<file path=customXml/itemProps2.xml><?xml version="1.0" encoding="utf-8"?>
<ds:datastoreItem xmlns:ds="http://schemas.openxmlformats.org/officeDocument/2006/customXml" ds:itemID="{11EFF735-D625-4A91-91D3-D8AC1CA2884C}"/>
</file>

<file path=customXml/itemProps3.xml><?xml version="1.0" encoding="utf-8"?>
<ds:datastoreItem xmlns:ds="http://schemas.openxmlformats.org/officeDocument/2006/customXml" ds:itemID="{F12B4A2F-4646-4EC9-8580-1EFC8BF3E23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/>
  <cp:revision/>
  <dcterms:created xsi:type="dcterms:W3CDTF">2021-10-13T18:04:27Z</dcterms:created>
  <dcterms:modified xsi:type="dcterms:W3CDTF">2022-06-30T15:54:30Z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0x010100F24FF01B6E691B418AC7A3AA007394EC</vt:lpwstr>
  </property>
</Properties>
</file>